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lanilha1" sheetId="1" state="visible" r:id="rId3"/>
    <sheet name="Diarização - DEZ 25" sheetId="2" state="visible" r:id="rId4"/>
    <sheet name="Upload" sheetId="3" state="visible" r:id="rId5"/>
    <sheet name="Base - motivo bloq" sheetId="4" state="hidden" r:id="rId6"/>
  </sheets>
  <definedNames>
    <definedName function="false" hidden="true" localSheetId="2" name="_xlnm._FilterDatabase" vbProcedure="false">Upload!$A$2:$N$188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Gustavo Dias Fiuza da Costa</author>
  </authors>
  <commentList>
    <comment ref="X11" authorId="0">
      <text>
        <r>
          <rPr>
            <sz val="10"/>
            <rFont val="Arial"/>
            <family val="2"/>
          </rPr>
          <t xml:space="preserve">Bloqueio por lim cap log</t>
        </r>
      </text>
    </comment>
    <comment ref="X12" authorId="0">
      <text>
        <r>
          <rPr>
            <sz val="10"/>
            <rFont val="Arial"/>
            <family val="2"/>
          </rPr>
          <t xml:space="preserve">BLOQUEIO POR LIM CAP LOG
15:51
</t>
        </r>
      </text>
    </comment>
    <comment ref="X13" authorId="0">
      <text>
        <r>
          <rPr>
            <sz val="10"/>
            <rFont val="Arial"/>
            <family val="2"/>
          </rPr>
          <t xml:space="preserve">Block limite cap log
15:51</t>
        </r>
      </text>
    </comment>
    <comment ref="X14" authorId="0">
      <text>
        <r>
          <rPr>
            <sz val="10"/>
            <rFont val="Arial"/>
            <family val="2"/>
          </rPr>
          <t xml:space="preserve">Bloq por lim cap log
17:04</t>
        </r>
      </text>
    </comment>
    <comment ref="X17" authorId="0">
      <text>
        <r>
          <rPr>
            <sz val="10"/>
            <rFont val="Arial"/>
            <family val="2"/>
          </rPr>
          <t xml:space="preserve">Bloqueio por lim cap log
18:01
</t>
        </r>
      </text>
    </comment>
    <comment ref="X18" authorId="0">
      <text>
        <r>
          <rPr>
            <sz val="10"/>
            <rFont val="Arial"/>
            <family val="2"/>
          </rPr>
          <t xml:space="preserve">Bloqueio por lim cap log
16:38</t>
        </r>
      </text>
    </comment>
    <comment ref="X24" authorId="0">
      <text>
        <r>
          <rPr>
            <sz val="10"/>
            <rFont val="Arial"/>
            <family val="2"/>
          </rPr>
          <t xml:space="preserve">Bloqueio por lim cap log
17:25
</t>
        </r>
      </text>
    </comment>
    <comment ref="X25" authorId="0">
      <text>
        <r>
          <rPr>
            <sz val="10"/>
            <rFont val="Arial"/>
            <family val="2"/>
          </rPr>
          <t xml:space="preserve">Bloqueio por lim cap log 
17:00</t>
        </r>
      </text>
    </comment>
    <comment ref="X26" authorId="0">
      <text>
        <r>
          <rPr>
            <sz val="10"/>
            <rFont val="Arial"/>
            <family val="2"/>
          </rPr>
          <t xml:space="preserve">Bloqueio por lim cap log
19:30</t>
        </r>
      </text>
    </comment>
    <comment ref="X31" authorId="0">
      <text>
        <r>
          <rPr>
            <sz val="10"/>
            <rFont val="Arial"/>
            <family val="2"/>
          </rPr>
          <t xml:space="preserve">BLOQUEIO POR LIM CAP LOG
16:34</t>
        </r>
      </text>
    </comment>
    <comment ref="X32" authorId="0">
      <text>
        <r>
          <rPr>
            <sz val="10"/>
            <rFont val="Arial"/>
            <family val="2"/>
          </rPr>
          <t xml:space="preserve">bloqueio por lim cap log
17:17</t>
        </r>
      </text>
    </comment>
    <comment ref="X33" authorId="0">
      <text>
        <r>
          <rPr>
            <sz val="10"/>
            <rFont val="Arial"/>
            <family val="2"/>
          </rPr>
          <t xml:space="preserve">Bloqueio por lim cap log
17:31 </t>
        </r>
      </text>
    </comment>
    <comment ref="X38" authorId="0">
      <text>
        <r>
          <rPr>
            <sz val="10"/>
            <rFont val="Arial"/>
            <family val="2"/>
          </rPr>
          <t xml:space="preserve">Blqueio por cap log
16:19</t>
        </r>
      </text>
    </comment>
    <comment ref="AD13" authorId="0">
      <text>
        <r>
          <rPr>
            <sz val="10"/>
            <rFont val="Arial"/>
            <family val="2"/>
          </rPr>
          <t xml:space="preserve">bloqueio lim cap log
11:47</t>
        </r>
      </text>
    </comment>
    <comment ref="AD18" authorId="0">
      <text>
        <r>
          <rPr>
            <sz val="10"/>
            <rFont val="Arial"/>
            <family val="2"/>
          </rPr>
          <t xml:space="preserve">Bloqueio por lim cap log
11:33</t>
        </r>
      </text>
    </comment>
    <comment ref="AD25" authorId="0">
      <text>
        <r>
          <rPr>
            <sz val="10"/>
            <rFont val="Arial"/>
            <family val="2"/>
          </rPr>
          <t xml:space="preserve">bloqueio por lim cap log
11:51</t>
        </r>
      </text>
    </comment>
    <comment ref="AD32" authorId="0">
      <text>
        <r>
          <rPr>
            <sz val="10"/>
            <rFont val="Arial"/>
            <family val="2"/>
          </rPr>
          <t xml:space="preserve">Bloqueio por lim cap log 
11:46
</t>
        </r>
      </text>
    </comment>
    <comment ref="AG11" authorId="0">
      <text>
        <r>
          <rPr>
            <sz val="10"/>
            <rFont val="Arial"/>
            <family val="2"/>
          </rPr>
          <t xml:space="preserve">Bloqueio por lim cap log
13:41
</t>
        </r>
      </text>
    </comment>
    <comment ref="AG18" authorId="0">
      <text>
        <r>
          <rPr>
            <sz val="10"/>
            <rFont val="Arial"/>
            <family val="2"/>
          </rPr>
          <t xml:space="preserve">Bloqueio do lim cap log
13:45
</t>
        </r>
      </text>
    </comment>
    <comment ref="AG20" authorId="0">
      <text>
        <r>
          <rPr>
            <sz val="10"/>
            <rFont val="Arial"/>
            <family val="2"/>
          </rPr>
          <t xml:space="preserve">Bloqueio por lim cap log 
13:36</t>
        </r>
      </text>
    </comment>
    <comment ref="AG32" authorId="0">
      <text>
        <r>
          <rPr>
            <sz val="10"/>
            <rFont val="Arial"/>
            <family val="2"/>
          </rPr>
          <t xml:space="preserve">bloqueio por lim cap log
13:34</t>
        </r>
      </text>
    </comment>
    <comment ref="AJ13" authorId="0">
      <text>
        <r>
          <rPr>
            <sz val="10"/>
            <rFont val="Arial"/>
            <family val="2"/>
          </rPr>
          <t xml:space="preserve">Bloqueio por limite de estoque
12:27</t>
        </r>
      </text>
    </comment>
  </commentList>
</comments>
</file>

<file path=xl/sharedStrings.xml><?xml version="1.0" encoding="utf-8"?>
<sst xmlns="http://schemas.openxmlformats.org/spreadsheetml/2006/main" count="431" uniqueCount="57">
  <si>
    <t xml:space="preserve">MATRIZ</t>
  </si>
  <si>
    <t xml:space="preserve">DIA</t>
  </si>
  <si>
    <t xml:space="preserve">NOITE</t>
  </si>
  <si>
    <t xml:space="preserve">ARA</t>
  </si>
  <si>
    <t xml:space="preserve">CÇP</t>
  </si>
  <si>
    <t xml:space="preserve">PA</t>
  </si>
  <si>
    <t xml:space="preserve">DC</t>
  </si>
  <si>
    <t xml:space="preserve">MTZ</t>
  </si>
  <si>
    <t xml:space="preserve">TT</t>
  </si>
  <si>
    <t xml:space="preserve">VGP - DIA</t>
  </si>
  <si>
    <t xml:space="preserve">VGP - NOITE</t>
  </si>
  <si>
    <t xml:space="preserve">DEZEMBRO </t>
  </si>
  <si>
    <t xml:space="preserve">VGP %</t>
  </si>
  <si>
    <t xml:space="preserve">SABADO</t>
  </si>
  <si>
    <t xml:space="preserve">SEGUNDA FEIRA</t>
  </si>
  <si>
    <t xml:space="preserve">DOMINGO</t>
  </si>
  <si>
    <t xml:space="preserve">TERÇA-FEIRA</t>
  </si>
  <si>
    <t xml:space="preserve">SEGUNDA-FEIRA</t>
  </si>
  <si>
    <t xml:space="preserve">QUARTA-FEIRA</t>
  </si>
  <si>
    <t xml:space="preserve">QUINTA-FEIRA</t>
  </si>
  <si>
    <t xml:space="preserve">SEXTA-FEIRA</t>
  </si>
  <si>
    <t xml:space="preserve">SÁBADO</t>
  </si>
  <si>
    <t xml:space="preserve"> </t>
  </si>
  <si>
    <t xml:space="preserve">TOTAL </t>
  </si>
  <si>
    <t xml:space="preserve">,</t>
  </si>
  <si>
    <t xml:space="preserve">META VENDAS</t>
  </si>
  <si>
    <t xml:space="preserve">CAPACIDADE MAX LOGISTICA MÊS</t>
  </si>
  <si>
    <t xml:space="preserve">REALIZADO</t>
  </si>
  <si>
    <t xml:space="preserve">VGP DIA</t>
  </si>
  <si>
    <t xml:space="preserve">VGP NOITE</t>
  </si>
  <si>
    <t xml:space="preserve">META REAL</t>
  </si>
  <si>
    <t xml:space="preserve">META MÊS</t>
  </si>
  <si>
    <t xml:space="preserve">% BLOQ</t>
  </si>
  <si>
    <t xml:space="preserve">GAP</t>
  </si>
  <si>
    <t xml:space="preserve">TOTAL MÊS</t>
  </si>
  <si>
    <t xml:space="preserve">GAP EMPRESA</t>
  </si>
  <si>
    <t xml:space="preserve">]</t>
  </si>
  <si>
    <t xml:space="preserve">CAPACIDADE MAX LOGISTICA</t>
  </si>
  <si>
    <t xml:space="preserve">%</t>
  </si>
  <si>
    <t xml:space="preserve">Setor</t>
  </si>
  <si>
    <t xml:space="preserve">BLOQ</t>
  </si>
  <si>
    <t xml:space="preserve">SEQSETOR</t>
  </si>
  <si>
    <t xml:space="preserve">TURNO</t>
  </si>
  <si>
    <t xml:space="preserve">DTA</t>
  </si>
  <si>
    <t xml:space="preserve">PESO_META</t>
  </si>
  <si>
    <t xml:space="preserve">PESO_CAPAC</t>
  </si>
  <si>
    <t xml:space="preserve">USULANCTO</t>
  </si>
  <si>
    <t xml:space="preserve">STATUS</t>
  </si>
  <si>
    <t xml:space="preserve">RESIMPORTACAO</t>
  </si>
  <si>
    <t xml:space="preserve">DTAINCLUSAO</t>
  </si>
  <si>
    <t xml:space="preserve">NROCOMISSAODEVENTO</t>
  </si>
  <si>
    <t xml:space="preserve">NROREPRESENTANTE</t>
  </si>
  <si>
    <t xml:space="preserve">DTALANCAMENTO</t>
  </si>
  <si>
    <t xml:space="preserve">VALOR</t>
  </si>
  <si>
    <t xml:space="preserve">HISTORICO</t>
  </si>
  <si>
    <t xml:space="preserve">S/B</t>
  </si>
  <si>
    <t xml:space="preserve">C/B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</si>
</sst>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-* #,##0.00_-;\-* #,##0.00_-;_-* \-??_-;_-@_-"/>
    <numFmt numFmtId="166" formatCode="#,##0"/>
    <numFmt numFmtId="167" formatCode="#,##0.00"/>
    <numFmt numFmtId="168" formatCode="d/m/yyyy"/>
    <numFmt numFmtId="169" formatCode="_-* #,##0_-;\-* #,##0_-;_-* \-??_-;_-@_-"/>
    <numFmt numFmtId="170" formatCode="0.00%"/>
    <numFmt numFmtId="171" formatCode="0%"/>
    <numFmt numFmtId="172" formatCode="_-* #,##0.000_-;\-* #,##0.000_-;_-* \-??_-;_-@_-"/>
    <numFmt numFmtId="173" formatCode="0.0%"/>
    <numFmt numFmtId="174" formatCode="@"/>
    <numFmt numFmtId="175" formatCode="mmm/yy"/>
    <numFmt numFmtId="176" formatCode="[$-F800]dddd&quot;, &quot;mmmm\ dd&quot;, &quot;yyyy"/>
    <numFmt numFmtId="177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4"/>
      <color theme="1"/>
      <name val="Calibri"/>
      <family val="2"/>
      <charset val="1"/>
    </font>
    <font>
      <sz val="14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"/>
        <bgColor rgb="FFC6EFCE"/>
      </patternFill>
    </fill>
    <fill>
      <patternFill patternType="solid">
        <fgColor theme="2" tint="-0.9"/>
        <bgColor rgb="FF000000"/>
      </patternFill>
    </fill>
    <fill>
      <patternFill patternType="solid">
        <fgColor theme="0"/>
        <bgColor rgb="FFFFFFCC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C5E0B4"/>
      </patternFill>
    </fill>
    <fill>
      <patternFill patternType="solid">
        <fgColor theme="3" tint="-0.25"/>
        <bgColor rgb="FF333399"/>
      </patternFill>
    </fill>
    <fill>
      <patternFill patternType="solid">
        <fgColor rgb="FF002060"/>
        <bgColor rgb="FF000080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 style="thin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4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9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9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0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10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10" fillId="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5" fontId="1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11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1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11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0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5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7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2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2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Vírgula 2" xfId="2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181717"/>
      <rgbColor rgb="FF333300"/>
      <rgbColor rgb="FF9C5700"/>
      <rgbColor rgb="FF993366"/>
      <rgbColor rgb="FF333399"/>
      <rgbColor rgb="FF333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966240</xdr:colOff>
      <xdr:row>0</xdr:row>
      <xdr:rowOff>38880</xdr:rowOff>
    </xdr:from>
    <xdr:to>
      <xdr:col>26</xdr:col>
      <xdr:colOff>65520</xdr:colOff>
      <xdr:row>2</xdr:row>
      <xdr:rowOff>130680</xdr:rowOff>
    </xdr:to>
    <xdr:pic>
      <xdr:nvPicPr>
        <xdr:cNvPr id="1" name="Imagem 1" descr=""/>
        <xdr:cNvPicPr/>
      </xdr:nvPicPr>
      <xdr:blipFill>
        <a:blip r:embed="rId1"/>
        <a:stretch/>
      </xdr:blipFill>
      <xdr:spPr>
        <a:xfrm>
          <a:off x="20573280" y="38880"/>
          <a:ext cx="3039480" cy="453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S10" activeCellId="1" sqref="F1:N2 AS10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6.54"/>
    <col collapsed="false" customWidth="true" hidden="false" outlineLevel="0" max="2" min="2" style="1" width="11.82"/>
    <col collapsed="false" customWidth="true" hidden="true" outlineLevel="0" max="3" min="3" style="1" width="13"/>
    <col collapsed="false" customWidth="true" hidden="true" outlineLevel="0" max="4" min="4" style="1" width="10.18"/>
    <col collapsed="false" customWidth="false" hidden="true" outlineLevel="0" max="9" min="5" style="1" width="8.54"/>
    <col collapsed="false" customWidth="true" hidden="true" outlineLevel="0" max="10" min="10" style="1" width="10.27"/>
    <col collapsed="false" customWidth="true" hidden="true" outlineLevel="0" max="11" min="11" style="1" width="23.45"/>
    <col collapsed="false" customWidth="true" hidden="true" outlineLevel="0" max="12" min="12" style="1" width="10.82"/>
    <col collapsed="false" customWidth="true" hidden="true" outlineLevel="0" max="14" min="13" style="1" width="10.18"/>
    <col collapsed="false" customWidth="false" hidden="true" outlineLevel="0" max="16" min="15" style="1" width="8.54"/>
    <col collapsed="false" customWidth="true" hidden="true" outlineLevel="0" max="17" min="17" style="1" width="21.73"/>
    <col collapsed="false" customWidth="true" hidden="false" outlineLevel="0" max="18" min="18" style="1" width="15.82"/>
    <col collapsed="false" customWidth="true" hidden="false" outlineLevel="0" max="19" min="19" style="1" width="11.18"/>
    <col collapsed="false" customWidth="true" hidden="false" outlineLevel="0" max="20" min="20" style="1" width="10.18"/>
    <col collapsed="false" customWidth="true" hidden="false" outlineLevel="0" max="21" min="21" style="1" width="10.82"/>
    <col collapsed="false" customWidth="true" hidden="false" outlineLevel="0" max="22" min="22" style="1" width="11.18"/>
    <col collapsed="false" customWidth="true" hidden="false" outlineLevel="0" max="23" min="23" style="1" width="11.45"/>
    <col collapsed="false" customWidth="false" hidden="false" outlineLevel="0" max="26" min="24" style="1" width="8.54"/>
    <col collapsed="false" customWidth="true" hidden="true" outlineLevel="0" max="27" min="27" style="1" width="8.73"/>
    <col collapsed="false" customWidth="true" hidden="true" outlineLevel="0" max="28" min="28" style="1" width="10.82"/>
    <col collapsed="false" customWidth="true" hidden="true" outlineLevel="0" max="30" min="29" style="1" width="6.73"/>
    <col collapsed="false" customWidth="true" hidden="true" outlineLevel="0" max="31" min="31" style="1" width="7.73"/>
    <col collapsed="false" customWidth="true" hidden="true" outlineLevel="0" max="32" min="32" style="1" width="6.73"/>
    <col collapsed="false" customWidth="true" hidden="true" outlineLevel="0" max="33" min="33" style="1" width="9.82"/>
    <col collapsed="false" customWidth="true" hidden="true" outlineLevel="0" max="34" min="34" style="1" width="8.73"/>
    <col collapsed="false" customWidth="true" hidden="true" outlineLevel="0" max="35" min="35" style="1" width="10.82"/>
    <col collapsed="false" customWidth="true" hidden="true" outlineLevel="0" max="39" min="36" style="1" width="11.53"/>
    <col collapsed="false" customWidth="true" hidden="true" outlineLevel="0" max="40" min="40" style="1" width="10.18"/>
    <col collapsed="false" customWidth="true" hidden="false" outlineLevel="0" max="41" min="41" style="1" width="14.54"/>
    <col collapsed="false" customWidth="true" hidden="false" outlineLevel="0" max="42" min="42" style="2" width="14.18"/>
    <col collapsed="false" customWidth="true" hidden="false" outlineLevel="0" max="43" min="43" style="2" width="18.73"/>
    <col collapsed="false" customWidth="false" hidden="false" outlineLevel="0" max="16384" min="44" style="1" width="8.54"/>
  </cols>
  <sheetData>
    <row r="1" customFormat="false" ht="14.25" hidden="false" customHeight="false" outlineLevel="0" collapsed="false">
      <c r="AP1" s="2" t="s">
        <v>0</v>
      </c>
      <c r="AQ1" s="2" t="n">
        <f aca="false">SUM(AQ2:AQ31)</f>
        <v>618270</v>
      </c>
    </row>
    <row r="2" customFormat="false" ht="14.25" hidden="false" customHeight="false" outlineLevel="0" collapsed="false"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4" t="s">
        <v>8</v>
      </c>
      <c r="K2" s="4" t="s">
        <v>9</v>
      </c>
      <c r="L2" s="4" t="s">
        <v>10</v>
      </c>
      <c r="M2" s="4" t="s">
        <v>3</v>
      </c>
      <c r="N2" s="4" t="s">
        <v>4</v>
      </c>
      <c r="O2" s="4" t="s">
        <v>5</v>
      </c>
      <c r="P2" s="4" t="s">
        <v>6</v>
      </c>
      <c r="Q2" s="4" t="s">
        <v>8</v>
      </c>
      <c r="R2" s="5" t="s">
        <v>11</v>
      </c>
      <c r="S2" s="5"/>
      <c r="T2" s="4" t="s">
        <v>9</v>
      </c>
      <c r="U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9</v>
      </c>
      <c r="AB2" s="4" t="s">
        <v>10</v>
      </c>
      <c r="AC2" s="4" t="s">
        <v>3</v>
      </c>
      <c r="AD2" s="4" t="s">
        <v>4</v>
      </c>
      <c r="AE2" s="4" t="s">
        <v>5</v>
      </c>
      <c r="AF2" s="4" t="s">
        <v>6</v>
      </c>
      <c r="AG2" s="4" t="s">
        <v>8</v>
      </c>
      <c r="AH2" s="4" t="s">
        <v>9</v>
      </c>
      <c r="AI2" s="4" t="s">
        <v>10</v>
      </c>
      <c r="AJ2" s="4" t="s">
        <v>3</v>
      </c>
      <c r="AK2" s="4" t="s">
        <v>4</v>
      </c>
      <c r="AL2" s="4" t="s">
        <v>5</v>
      </c>
      <c r="AM2" s="4" t="s">
        <v>6</v>
      </c>
      <c r="AN2" s="4" t="s">
        <v>8</v>
      </c>
      <c r="AO2" s="1" t="s">
        <v>12</v>
      </c>
      <c r="AP2" s="6" t="n">
        <v>450497.244617805</v>
      </c>
    </row>
    <row r="3" customFormat="false" ht="14.25" hidden="false" customHeight="false" outlineLevel="0" collapsed="false">
      <c r="A3" s="1" t="s">
        <v>13</v>
      </c>
      <c r="B3" s="7" t="n">
        <v>45962</v>
      </c>
      <c r="C3" s="6" t="n">
        <v>47326</v>
      </c>
      <c r="D3" s="6" t="n">
        <v>0</v>
      </c>
      <c r="E3" s="6" t="n">
        <v>0</v>
      </c>
      <c r="F3" s="6" t="n">
        <v>13460</v>
      </c>
      <c r="G3" s="6" t="n">
        <v>0</v>
      </c>
      <c r="H3" s="6" t="n">
        <v>0</v>
      </c>
      <c r="I3" s="6" t="n">
        <v>19388.0796123853</v>
      </c>
      <c r="J3" s="8" t="n">
        <v>80174.0796123853</v>
      </c>
      <c r="K3" s="8" t="n">
        <v>60000</v>
      </c>
      <c r="L3" s="8"/>
      <c r="M3" s="8"/>
      <c r="N3" s="8" t="n">
        <v>24000</v>
      </c>
      <c r="O3" s="8"/>
      <c r="P3" s="8"/>
      <c r="Q3" s="8" t="n">
        <v>84000</v>
      </c>
      <c r="R3" s="8" t="s">
        <v>14</v>
      </c>
      <c r="S3" s="7" t="n">
        <v>45992</v>
      </c>
      <c r="T3" s="8"/>
      <c r="U3" s="8"/>
      <c r="V3" s="8"/>
      <c r="W3" s="8"/>
      <c r="X3" s="8"/>
      <c r="Y3" s="8"/>
      <c r="Z3" s="8"/>
      <c r="AA3" s="9" t="n">
        <v>0.267802053839327</v>
      </c>
      <c r="AB3" s="9" t="n">
        <v>0</v>
      </c>
      <c r="AC3" s="9" t="n">
        <v>0</v>
      </c>
      <c r="AD3" s="9" t="n">
        <v>0.783060921248143</v>
      </c>
      <c r="AE3" s="9" t="n">
        <v>0</v>
      </c>
      <c r="AF3" s="9" t="n">
        <v>0</v>
      </c>
      <c r="AG3" s="9" t="n">
        <v>0.0477201659951907</v>
      </c>
      <c r="AH3" s="8" t="n">
        <v>12674</v>
      </c>
      <c r="AI3" s="8" t="n">
        <v>0</v>
      </c>
      <c r="AJ3" s="8" t="n">
        <v>0</v>
      </c>
      <c r="AK3" s="8" t="n">
        <v>10540</v>
      </c>
      <c r="AL3" s="8" t="n">
        <v>0</v>
      </c>
      <c r="AM3" s="8" t="n">
        <v>50000</v>
      </c>
      <c r="AN3" s="8" t="n">
        <v>3825.92038761466</v>
      </c>
      <c r="AO3" s="9" t="n">
        <f aca="false">Z3/SUM(Z$3:Z$32)</f>
        <v>0</v>
      </c>
      <c r="AP3" s="2" t="n">
        <f aca="false">$AP$2*AO3</f>
        <v>0</v>
      </c>
    </row>
    <row r="4" customFormat="false" ht="14.25" hidden="false" customHeight="false" outlineLevel="0" collapsed="false">
      <c r="A4" s="1" t="s">
        <v>15</v>
      </c>
      <c r="B4" s="7" t="n">
        <v>45963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1" t="s">
        <v>16</v>
      </c>
      <c r="S4" s="7" t="n">
        <v>45993</v>
      </c>
      <c r="T4" s="8"/>
      <c r="U4" s="8"/>
      <c r="V4" s="8"/>
      <c r="W4" s="8"/>
      <c r="X4" s="8"/>
      <c r="Y4" s="8"/>
      <c r="Z4" s="8"/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9" t="n">
        <f aca="false">Z4/SUM(Z$3:Z$32)</f>
        <v>0</v>
      </c>
      <c r="AP4" s="2" t="n">
        <f aca="false">$AP$2*AO4</f>
        <v>0</v>
      </c>
    </row>
    <row r="5" customFormat="false" ht="14.25" hidden="false" customHeight="false" outlineLevel="0" collapsed="false">
      <c r="A5" s="1" t="s">
        <v>17</v>
      </c>
      <c r="B5" s="7" t="n">
        <v>45964</v>
      </c>
      <c r="C5" s="6" t="n">
        <v>148664.226917765</v>
      </c>
      <c r="D5" s="6" t="n">
        <v>156010.486539416</v>
      </c>
      <c r="E5" s="6" t="n">
        <v>39553.1272166448</v>
      </c>
      <c r="F5" s="6" t="n">
        <v>38000</v>
      </c>
      <c r="G5" s="6" t="n">
        <v>24882.8671174026</v>
      </c>
      <c r="H5" s="6" t="n">
        <v>24152.5078219566</v>
      </c>
      <c r="I5" s="8" t="n">
        <v>28326</v>
      </c>
      <c r="J5" s="8" t="n">
        <v>459589.215613185</v>
      </c>
      <c r="K5" s="8" t="n">
        <v>170000</v>
      </c>
      <c r="L5" s="8" t="n">
        <v>160000</v>
      </c>
      <c r="M5" s="8" t="n">
        <v>48000</v>
      </c>
      <c r="N5" s="8" t="n">
        <v>38000</v>
      </c>
      <c r="O5" s="8" t="n">
        <v>38000</v>
      </c>
      <c r="P5" s="8" t="n">
        <v>25000</v>
      </c>
      <c r="Q5" s="8" t="n">
        <v>479000</v>
      </c>
      <c r="R5" s="1" t="s">
        <v>18</v>
      </c>
      <c r="S5" s="7" t="n">
        <v>45994</v>
      </c>
      <c r="T5" s="8" t="n">
        <v>152294</v>
      </c>
      <c r="U5" s="8" t="n">
        <v>141877</v>
      </c>
      <c r="V5" s="8" t="n">
        <v>28276</v>
      </c>
      <c r="W5" s="8" t="n">
        <v>26589</v>
      </c>
      <c r="X5" s="8" t="n">
        <v>20007</v>
      </c>
      <c r="Y5" s="8" t="n">
        <v>18278</v>
      </c>
      <c r="Z5" s="8" t="n">
        <v>30625</v>
      </c>
      <c r="AA5" s="9" t="n">
        <v>0.143516523945179</v>
      </c>
      <c r="AB5" s="9" t="n">
        <v>0.0255720852429779</v>
      </c>
      <c r="AC5" s="9" t="n">
        <v>0.213557647087905</v>
      </c>
      <c r="AD5" s="9" t="n">
        <v>0</v>
      </c>
      <c r="AE5" s="9" t="n">
        <v>0.527155203647072</v>
      </c>
      <c r="AF5" s="9" t="n">
        <v>0.0350892000238994</v>
      </c>
      <c r="AG5" s="9" t="n">
        <v>0.0422350736862212</v>
      </c>
      <c r="AH5" s="8" t="n">
        <v>21335.7730822349</v>
      </c>
      <c r="AI5" s="8" t="n">
        <v>3989.51346058439</v>
      </c>
      <c r="AJ5" s="8" t="n">
        <v>8446.87278335522</v>
      </c>
      <c r="AK5" s="8" t="n">
        <v>0</v>
      </c>
      <c r="AL5" s="8" t="n">
        <v>13117.1328825974</v>
      </c>
      <c r="AM5" s="8" t="n">
        <v>847.492178043427</v>
      </c>
      <c r="AN5" s="8" t="n">
        <v>19410.7843868154</v>
      </c>
      <c r="AO5" s="9" t="n">
        <f aca="false">Z5/SUM(Z$3:Z$32)</f>
        <v>0.0756141523422668</v>
      </c>
      <c r="AP5" s="2" t="n">
        <f aca="false">$AP$2*AO5</f>
        <v>34063.9672843021</v>
      </c>
      <c r="AQ5" s="2" t="n">
        <v>19645</v>
      </c>
    </row>
    <row r="6" customFormat="false" ht="14.25" hidden="false" customHeight="false" outlineLevel="0" collapsed="false">
      <c r="A6" s="1" t="s">
        <v>16</v>
      </c>
      <c r="B6" s="7" t="n">
        <v>45965</v>
      </c>
      <c r="C6" s="6" t="n">
        <v>215000</v>
      </c>
      <c r="D6" s="6" t="n">
        <v>153084.573919666</v>
      </c>
      <c r="E6" s="6" t="n">
        <v>50761.6963556369</v>
      </c>
      <c r="F6" s="6" t="n">
        <v>53808.2465490505</v>
      </c>
      <c r="G6" s="6" t="n">
        <v>24055.5816059589</v>
      </c>
      <c r="H6" s="6" t="n">
        <v>21226.1784488948</v>
      </c>
      <c r="I6" s="8" t="n">
        <v>20216</v>
      </c>
      <c r="J6" s="8" t="n">
        <v>538152.276879207</v>
      </c>
      <c r="K6" s="8" t="n">
        <v>215000</v>
      </c>
      <c r="L6" s="8" t="n">
        <v>160000</v>
      </c>
      <c r="M6" s="8" t="n">
        <v>60000</v>
      </c>
      <c r="N6" s="8" t="n">
        <v>60000</v>
      </c>
      <c r="O6" s="8" t="n">
        <v>38000</v>
      </c>
      <c r="P6" s="8" t="n">
        <v>25000</v>
      </c>
      <c r="Q6" s="8" t="n">
        <v>558000</v>
      </c>
      <c r="R6" s="1" t="s">
        <v>19</v>
      </c>
      <c r="S6" s="7" t="n">
        <v>45995</v>
      </c>
      <c r="T6" s="8" t="n">
        <v>214478</v>
      </c>
      <c r="U6" s="8" t="n">
        <v>154598</v>
      </c>
      <c r="V6" s="8" t="n">
        <v>55464</v>
      </c>
      <c r="W6" s="8" t="n">
        <v>52663</v>
      </c>
      <c r="X6" s="8" t="n">
        <v>23201</v>
      </c>
      <c r="Y6" s="8" t="n">
        <v>19381</v>
      </c>
      <c r="Z6" s="8" t="n">
        <v>14288</v>
      </c>
      <c r="AA6" s="9" t="n">
        <v>0</v>
      </c>
      <c r="AB6" s="9" t="n">
        <v>0.045173892465241</v>
      </c>
      <c r="AC6" s="9" t="n">
        <v>0.181993595715153</v>
      </c>
      <c r="AD6" s="9" t="n">
        <v>0.115070715885626</v>
      </c>
      <c r="AE6" s="9" t="n">
        <v>0.579674963692704</v>
      </c>
      <c r="AF6" s="9" t="n">
        <v>0.177790908532651</v>
      </c>
      <c r="AG6" s="9" t="n">
        <v>0.0368812397039215</v>
      </c>
      <c r="AH6" s="8" t="n">
        <v>0</v>
      </c>
      <c r="AI6" s="8" t="n">
        <v>6915.4260803342</v>
      </c>
      <c r="AJ6" s="8" t="n">
        <v>9238.30364436313</v>
      </c>
      <c r="AK6" s="8" t="n">
        <v>6191.75345094952</v>
      </c>
      <c r="AL6" s="8" t="n">
        <v>13944.4183940411</v>
      </c>
      <c r="AM6" s="8" t="n">
        <v>3773.82155110519</v>
      </c>
      <c r="AN6" s="8" t="n">
        <v>19847.7231207932</v>
      </c>
      <c r="AO6" s="9" t="n">
        <f aca="false">Z6/SUM(Z$3:Z$32)</f>
        <v>0.0352775513033896</v>
      </c>
      <c r="AP6" s="2" t="n">
        <f aca="false">$AP$2*AO6</f>
        <v>15892.4396590403</v>
      </c>
      <c r="AQ6" s="2" t="n">
        <v>20830</v>
      </c>
    </row>
    <row r="7" customFormat="false" ht="14.25" hidden="false" customHeight="false" outlineLevel="0" collapsed="false">
      <c r="A7" s="1" t="s">
        <v>18</v>
      </c>
      <c r="B7" s="7" t="n">
        <v>45966</v>
      </c>
      <c r="C7" s="6" t="n">
        <v>215000</v>
      </c>
      <c r="D7" s="6" t="n">
        <v>118546.420191296</v>
      </c>
      <c r="E7" s="6" t="n">
        <v>57437.5327066471</v>
      </c>
      <c r="F7" s="6" t="n">
        <v>60000</v>
      </c>
      <c r="G7" s="6" t="n">
        <v>36507.0923083611</v>
      </c>
      <c r="H7" s="6" t="n">
        <v>42243.675248026</v>
      </c>
      <c r="I7" s="8" t="n">
        <v>16002</v>
      </c>
      <c r="J7" s="8" t="n">
        <v>545736.72045433</v>
      </c>
      <c r="K7" s="8" t="n">
        <v>215000</v>
      </c>
      <c r="L7" s="8" t="n">
        <v>150000</v>
      </c>
      <c r="M7" s="8" t="n">
        <v>60000</v>
      </c>
      <c r="N7" s="8" t="n">
        <v>60000</v>
      </c>
      <c r="O7" s="8" t="n">
        <v>48000</v>
      </c>
      <c r="P7" s="8" t="n">
        <v>50000</v>
      </c>
      <c r="Q7" s="8" t="n">
        <v>583000</v>
      </c>
      <c r="R7" s="1" t="s">
        <v>20</v>
      </c>
      <c r="S7" s="7" t="n">
        <v>45996</v>
      </c>
      <c r="T7" s="8" t="n">
        <v>222321</v>
      </c>
      <c r="U7" s="8" t="n">
        <v>130941</v>
      </c>
      <c r="V7" s="8" t="n">
        <v>60267</v>
      </c>
      <c r="W7" s="8" t="n">
        <v>59913</v>
      </c>
      <c r="X7" s="8" t="n">
        <v>38238</v>
      </c>
      <c r="Y7" s="8" t="n">
        <v>46917</v>
      </c>
      <c r="Z7" s="8" t="n">
        <v>17518</v>
      </c>
      <c r="AA7" s="9" t="n">
        <v>0</v>
      </c>
      <c r="AB7" s="9" t="n">
        <v>0.265327116229641</v>
      </c>
      <c r="AC7" s="9" t="n">
        <v>0.044613115720695</v>
      </c>
      <c r="AD7" s="9" t="n">
        <v>0</v>
      </c>
      <c r="AE7" s="9" t="n">
        <v>0.314813012073458</v>
      </c>
      <c r="AF7" s="9" t="n">
        <v>0.183609136904736</v>
      </c>
      <c r="AG7" s="9" t="n">
        <v>0.0682806894772403</v>
      </c>
      <c r="AH7" s="8" t="n">
        <v>0</v>
      </c>
      <c r="AI7" s="8" t="n">
        <v>31453.5798087039</v>
      </c>
      <c r="AJ7" s="8" t="n">
        <v>2562.46729335286</v>
      </c>
      <c r="AK7" s="8" t="n">
        <v>0</v>
      </c>
      <c r="AL7" s="8" t="n">
        <v>11492.9076916389</v>
      </c>
      <c r="AM7" s="8" t="n">
        <v>7756.32475197402</v>
      </c>
      <c r="AN7" s="8" t="n">
        <v>37263.2795456697</v>
      </c>
      <c r="AO7" s="9" t="n">
        <f aca="false">Z7/SUM(Z$3:Z$32)</f>
        <v>0.0432525296565495</v>
      </c>
      <c r="AP7" s="2" t="n">
        <f aca="false">$AP$2*AO7</f>
        <v>19485.1454330255</v>
      </c>
      <c r="AQ7" s="2" t="n">
        <v>49000</v>
      </c>
    </row>
    <row r="8" customFormat="false" ht="14.25" hidden="false" customHeight="false" outlineLevel="0" collapsed="false">
      <c r="A8" s="1" t="s">
        <v>19</v>
      </c>
      <c r="B8" s="7" t="n">
        <v>45967</v>
      </c>
      <c r="C8" s="6" t="n">
        <v>198625</v>
      </c>
      <c r="D8" s="6" t="n">
        <v>96657.2911781483</v>
      </c>
      <c r="E8" s="6" t="n">
        <v>54378.0608465034</v>
      </c>
      <c r="F8" s="6" t="n">
        <v>46715.1556804309</v>
      </c>
      <c r="G8" s="6" t="n">
        <v>36095.3690085822</v>
      </c>
      <c r="H8" s="6" t="n">
        <v>19530.8793583837</v>
      </c>
      <c r="I8" s="8" t="n">
        <v>19287</v>
      </c>
      <c r="J8" s="8" t="n">
        <v>471288.756072049</v>
      </c>
      <c r="K8" s="8" t="n">
        <v>200000</v>
      </c>
      <c r="L8" s="8" t="n">
        <v>130000</v>
      </c>
      <c r="M8" s="8" t="n">
        <v>60000</v>
      </c>
      <c r="N8" s="8" t="n">
        <v>60000</v>
      </c>
      <c r="O8" s="8" t="n">
        <v>48000</v>
      </c>
      <c r="P8" s="8" t="n">
        <v>25000</v>
      </c>
      <c r="Q8" s="8" t="n">
        <v>523000</v>
      </c>
      <c r="R8" s="1" t="s">
        <v>21</v>
      </c>
      <c r="S8" s="7" t="n">
        <v>45997</v>
      </c>
      <c r="T8" s="8" t="n">
        <v>199224</v>
      </c>
      <c r="U8" s="8" t="n">
        <v>101914</v>
      </c>
      <c r="V8" s="8" t="n">
        <v>44984</v>
      </c>
      <c r="W8" s="8" t="n">
        <v>41977</v>
      </c>
      <c r="X8" s="8" t="n">
        <v>30149</v>
      </c>
      <c r="Y8" s="8" t="n">
        <v>24008</v>
      </c>
      <c r="Z8" s="8" t="n">
        <v>16865</v>
      </c>
      <c r="AA8" s="9" t="n">
        <v>0.00692259282567642</v>
      </c>
      <c r="AB8" s="9" t="n">
        <v>0.344958030743879</v>
      </c>
      <c r="AC8" s="9" t="n">
        <v>0.103386164677075</v>
      </c>
      <c r="AD8" s="9" t="n">
        <v>0.284379750555647</v>
      </c>
      <c r="AE8" s="9" t="n">
        <v>0.329810480357944</v>
      </c>
      <c r="AF8" s="9" t="n">
        <v>0.280024290829927</v>
      </c>
      <c r="AG8" s="9" t="n">
        <v>0.109723058871462</v>
      </c>
      <c r="AH8" s="8" t="n">
        <v>1375</v>
      </c>
      <c r="AI8" s="8" t="n">
        <v>33342.7088218517</v>
      </c>
      <c r="AJ8" s="8" t="n">
        <v>5621.9391534966</v>
      </c>
      <c r="AK8" s="8" t="n">
        <v>13284.8443195691</v>
      </c>
      <c r="AL8" s="8" t="n">
        <v>11904.6309914178</v>
      </c>
      <c r="AM8" s="8" t="n">
        <v>5469.12064161627</v>
      </c>
      <c r="AN8" s="8" t="n">
        <v>51711.2439279514</v>
      </c>
      <c r="AO8" s="9" t="n">
        <f aca="false">Z8/SUM(Z$3:Z$32)</f>
        <v>0.0416402507510965</v>
      </c>
      <c r="AP8" s="2" t="n">
        <f aca="false">$AP$2*AO8</f>
        <v>18758.8182285634</v>
      </c>
      <c r="AQ8" s="2" t="n">
        <v>25000</v>
      </c>
    </row>
    <row r="9" customFormat="false" ht="14.25" hidden="false" customHeight="false" outlineLevel="0" collapsed="false">
      <c r="A9" s="1" t="s">
        <v>20</v>
      </c>
      <c r="B9" s="7" t="n">
        <v>45968</v>
      </c>
      <c r="C9" s="6" t="n">
        <v>177086</v>
      </c>
      <c r="D9" s="6" t="n">
        <v>28777.1504678958</v>
      </c>
      <c r="E9" s="6" t="n">
        <v>43251.0121455184</v>
      </c>
      <c r="F9" s="6" t="n">
        <v>30174.4802706658</v>
      </c>
      <c r="G9" s="6" t="n">
        <v>22639.0231200066</v>
      </c>
      <c r="H9" s="6" t="n">
        <v>40701.5370013781</v>
      </c>
      <c r="I9" s="8" t="n">
        <v>13394</v>
      </c>
      <c r="J9" s="8" t="n">
        <v>356023.203005465</v>
      </c>
      <c r="K9" s="8" t="n">
        <v>200000</v>
      </c>
      <c r="L9" s="8" t="n">
        <v>50000</v>
      </c>
      <c r="M9" s="8" t="n">
        <v>48000</v>
      </c>
      <c r="N9" s="8" t="n">
        <v>38000</v>
      </c>
      <c r="O9" s="8" t="n">
        <v>38000</v>
      </c>
      <c r="P9" s="8" t="n">
        <v>50000</v>
      </c>
      <c r="Q9" s="8" t="n">
        <v>424000</v>
      </c>
      <c r="R9" s="1" t="s">
        <v>15</v>
      </c>
      <c r="S9" s="7" t="n">
        <v>45998</v>
      </c>
      <c r="T9" s="8" t="n">
        <v>168707</v>
      </c>
      <c r="U9" s="8" t="n">
        <v>32417</v>
      </c>
      <c r="V9" s="8" t="n">
        <v>46784</v>
      </c>
      <c r="W9" s="8" t="n">
        <v>38888</v>
      </c>
      <c r="X9" s="8" t="n">
        <v>26548</v>
      </c>
      <c r="Y9" s="8" t="n">
        <v>42103</v>
      </c>
      <c r="Z9" s="8" t="n">
        <v>15834</v>
      </c>
      <c r="AA9" s="9" t="n">
        <v>0.129394757349536</v>
      </c>
      <c r="AB9" s="9" t="n">
        <v>0.737489611967689</v>
      </c>
      <c r="AC9" s="9" t="n">
        <v>0.109800617809906</v>
      </c>
      <c r="AD9" s="9" t="n">
        <v>0.259342320369368</v>
      </c>
      <c r="AE9" s="9" t="n">
        <v>0.678517655049287</v>
      </c>
      <c r="AF9" s="9" t="n">
        <v>0.228454836934218</v>
      </c>
      <c r="AG9" s="9" t="n">
        <v>0.190933614496727</v>
      </c>
      <c r="AH9" s="8" t="n">
        <v>22914</v>
      </c>
      <c r="AI9" s="8" t="n">
        <v>21222.8495321042</v>
      </c>
      <c r="AJ9" s="8" t="n">
        <v>4748.98785448165</v>
      </c>
      <c r="AK9" s="8" t="n">
        <v>7825.51972933418</v>
      </c>
      <c r="AL9" s="8" t="n">
        <v>15360.9768799934</v>
      </c>
      <c r="AM9" s="8" t="n">
        <v>9298.46299862188</v>
      </c>
      <c r="AN9" s="8" t="n">
        <v>67976.7969945354</v>
      </c>
      <c r="AO9" s="9" t="n">
        <f aca="false">Z9/SUM(Z$3:Z$32)</f>
        <v>0.0390946771653046</v>
      </c>
      <c r="AP9" s="2" t="n">
        <f aca="false">$AP$2*AO9</f>
        <v>17612.0443421923</v>
      </c>
      <c r="AQ9" s="2" t="n">
        <v>47000</v>
      </c>
    </row>
    <row r="10" customFormat="false" ht="14.25" hidden="false" customHeight="false" outlineLevel="0" collapsed="false">
      <c r="A10" s="1" t="s">
        <v>21</v>
      </c>
      <c r="B10" s="7" t="n">
        <v>45969</v>
      </c>
      <c r="C10" s="6" t="n">
        <v>34679.5470366257</v>
      </c>
      <c r="D10" s="10" t="n">
        <v>0</v>
      </c>
      <c r="E10" s="10" t="n">
        <v>0</v>
      </c>
      <c r="F10" s="6" t="n">
        <v>15292</v>
      </c>
      <c r="G10" s="10" t="n">
        <v>0</v>
      </c>
      <c r="H10" s="10" t="n">
        <v>0</v>
      </c>
      <c r="I10" s="6" t="n">
        <v>10732.0144962988</v>
      </c>
      <c r="J10" s="8" t="n">
        <v>60703.5615329244</v>
      </c>
      <c r="K10" s="8" t="n">
        <v>60000</v>
      </c>
      <c r="L10" s="8"/>
      <c r="M10" s="8"/>
      <c r="N10" s="8" t="n">
        <v>24000</v>
      </c>
      <c r="O10" s="8"/>
      <c r="P10" s="8"/>
      <c r="Q10" s="8" t="n">
        <v>84000</v>
      </c>
      <c r="R10" s="1" t="s">
        <v>17</v>
      </c>
      <c r="S10" s="7" t="n">
        <v>45999</v>
      </c>
      <c r="T10" s="6" t="n">
        <v>34720</v>
      </c>
      <c r="U10" s="6"/>
      <c r="V10" s="6"/>
      <c r="W10" s="6" t="n">
        <v>16586</v>
      </c>
      <c r="X10" s="6"/>
      <c r="Y10" s="6"/>
      <c r="Z10" s="6" t="n">
        <v>9115</v>
      </c>
      <c r="AA10" s="9" t="n">
        <v>0.730126403803169</v>
      </c>
      <c r="AB10" s="9" t="n">
        <v>0</v>
      </c>
      <c r="AC10" s="9" t="n">
        <v>0</v>
      </c>
      <c r="AD10" s="9" t="n">
        <v>0.569448077426105</v>
      </c>
      <c r="AE10" s="9" t="n">
        <v>0</v>
      </c>
      <c r="AF10" s="9" t="n">
        <v>0</v>
      </c>
      <c r="AG10" s="9" t="n">
        <v>0.383773832684266</v>
      </c>
      <c r="AH10" s="8" t="n">
        <v>25320.4529633743</v>
      </c>
      <c r="AI10" s="8" t="n">
        <v>0</v>
      </c>
      <c r="AJ10" s="8" t="n">
        <v>0</v>
      </c>
      <c r="AK10" s="8" t="n">
        <v>8708</v>
      </c>
      <c r="AL10" s="8" t="n">
        <v>0</v>
      </c>
      <c r="AM10" s="8" t="n">
        <v>0</v>
      </c>
      <c r="AN10" s="8" t="n">
        <v>23296.4384670756</v>
      </c>
      <c r="AO10" s="9" t="n">
        <f aca="false">Z10/SUM(Z$3:Z$32)</f>
        <v>0.0225052407706045</v>
      </c>
      <c r="AP10" s="2" t="n">
        <f aca="false">$AP$2*AO10</f>
        <v>10138.5489566176</v>
      </c>
    </row>
    <row r="11" customFormat="false" ht="14.25" hidden="false" customHeight="false" outlineLevel="0" collapsed="false">
      <c r="A11" s="1" t="s">
        <v>15</v>
      </c>
      <c r="B11" s="7" t="n">
        <v>45970</v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/>
      <c r="O11" s="8" t="n">
        <v>0</v>
      </c>
      <c r="P11" s="8" t="n">
        <v>0</v>
      </c>
      <c r="Q11" s="8" t="n">
        <v>0</v>
      </c>
      <c r="R11" s="1" t="s">
        <v>16</v>
      </c>
      <c r="S11" s="7" t="n">
        <v>46000</v>
      </c>
      <c r="T11" s="8"/>
      <c r="U11" s="8"/>
      <c r="V11" s="8"/>
      <c r="W11" s="8"/>
      <c r="X11" s="8"/>
      <c r="Y11" s="8"/>
      <c r="Z11" s="8"/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9" t="n">
        <f aca="false">Z11/SUM(Z$3:Z$32)</f>
        <v>0</v>
      </c>
      <c r="AP11" s="2" t="n">
        <f aca="false">$AP$2*AO11</f>
        <v>0</v>
      </c>
    </row>
    <row r="12" customFormat="false" ht="14.25" hidden="false" customHeight="false" outlineLevel="0" collapsed="false">
      <c r="A12" s="1" t="s">
        <v>17</v>
      </c>
      <c r="B12" s="7" t="n">
        <v>45971</v>
      </c>
      <c r="C12" s="6" t="n">
        <v>145454.49561356</v>
      </c>
      <c r="D12" s="6" t="n">
        <v>149766.475481396</v>
      </c>
      <c r="E12" s="6" t="n">
        <v>42806.0873453113</v>
      </c>
      <c r="F12" s="6" t="n">
        <v>25691.1404111425</v>
      </c>
      <c r="G12" s="6" t="n">
        <v>17337.4858053719</v>
      </c>
      <c r="H12" s="6" t="n">
        <v>21158.2133244305</v>
      </c>
      <c r="I12" s="6" t="n">
        <v>29633</v>
      </c>
      <c r="J12" s="8" t="n">
        <v>431846.897981212</v>
      </c>
      <c r="K12" s="8" t="n">
        <v>170000</v>
      </c>
      <c r="L12" s="8" t="n">
        <v>160000</v>
      </c>
      <c r="M12" s="8" t="n">
        <v>48000</v>
      </c>
      <c r="N12" s="8" t="n">
        <v>38000</v>
      </c>
      <c r="O12" s="8" t="n">
        <v>38000</v>
      </c>
      <c r="P12" s="8" t="n">
        <v>25000</v>
      </c>
      <c r="Q12" s="8" t="n">
        <v>479000</v>
      </c>
      <c r="R12" s="1" t="s">
        <v>18</v>
      </c>
      <c r="S12" s="7" t="n">
        <v>46001</v>
      </c>
      <c r="T12" s="6" t="n">
        <v>154127</v>
      </c>
      <c r="U12" s="6" t="n">
        <v>145322</v>
      </c>
      <c r="V12" s="6" t="n">
        <v>26083</v>
      </c>
      <c r="W12" s="6" t="n">
        <v>24247</v>
      </c>
      <c r="X12" s="6" t="n">
        <v>22658</v>
      </c>
      <c r="Y12" s="6" t="n">
        <v>20382</v>
      </c>
      <c r="Z12" s="6" t="n">
        <v>28739</v>
      </c>
      <c r="AA12" s="9" t="n">
        <v>0.168750400480244</v>
      </c>
      <c r="AB12" s="9" t="n">
        <v>0.0683298747981522</v>
      </c>
      <c r="AC12" s="9" t="n">
        <v>0.121335842091572</v>
      </c>
      <c r="AD12" s="9" t="n">
        <v>0.479109116678957</v>
      </c>
      <c r="AE12" s="9" t="n">
        <v>1.19178261638293</v>
      </c>
      <c r="AF12" s="9" t="n">
        <v>0.181574248102204</v>
      </c>
      <c r="AG12" s="9" t="n">
        <v>-0.118525759470793</v>
      </c>
      <c r="AH12" s="8" t="n">
        <v>24545.5043864402</v>
      </c>
      <c r="AI12" s="8" t="n">
        <v>10233.5245186043</v>
      </c>
      <c r="AJ12" s="8" t="n">
        <v>5193.91265468874</v>
      </c>
      <c r="AK12" s="8" t="n">
        <v>12308.8595888575</v>
      </c>
      <c r="AL12" s="8" t="n">
        <v>20662.5141946281</v>
      </c>
      <c r="AM12" s="8" t="n">
        <v>3841.78667556949</v>
      </c>
      <c r="AN12" s="8" t="n">
        <v>-64407.8251820777</v>
      </c>
      <c r="AO12" s="9" t="n">
        <f aca="false">Z12/SUM(Z$3:Z$32)</f>
        <v>0.0709575550747561</v>
      </c>
      <c r="AP12" s="2" t="n">
        <f aca="false">$AP$2*AO12</f>
        <v>31966.1830459937</v>
      </c>
      <c r="AQ12" s="2" t="n">
        <v>21906</v>
      </c>
    </row>
    <row r="13" customFormat="false" ht="14.25" hidden="false" customHeight="false" outlineLevel="0" collapsed="false">
      <c r="A13" s="1" t="s">
        <v>16</v>
      </c>
      <c r="B13" s="7" t="n">
        <v>45972</v>
      </c>
      <c r="C13" s="6" t="n">
        <v>215000</v>
      </c>
      <c r="D13" s="6" t="n">
        <v>158902.340917031</v>
      </c>
      <c r="E13" s="6" t="n">
        <v>55983.9152578469</v>
      </c>
      <c r="F13" s="6" t="n">
        <v>51563</v>
      </c>
      <c r="G13" s="6" t="n">
        <v>24966.3634509242</v>
      </c>
      <c r="H13" s="6" t="n">
        <v>21250.2055562759</v>
      </c>
      <c r="I13" s="6" t="n">
        <v>15742</v>
      </c>
      <c r="J13" s="8" t="n">
        <v>543407.825182078</v>
      </c>
      <c r="K13" s="8" t="n">
        <v>215000</v>
      </c>
      <c r="L13" s="8" t="n">
        <v>160000</v>
      </c>
      <c r="M13" s="8" t="n">
        <v>60000</v>
      </c>
      <c r="N13" s="8" t="n">
        <v>60000</v>
      </c>
      <c r="O13" s="8" t="n">
        <v>38000</v>
      </c>
      <c r="P13" s="8" t="n">
        <v>25000</v>
      </c>
      <c r="Q13" s="8" t="n">
        <v>558000</v>
      </c>
      <c r="R13" s="1" t="s">
        <v>19</v>
      </c>
      <c r="S13" s="7" t="n">
        <v>46002</v>
      </c>
      <c r="T13" s="6" t="n">
        <v>215130</v>
      </c>
      <c r="U13" s="6" t="n">
        <v>142190</v>
      </c>
      <c r="V13" s="6" t="n">
        <v>53353</v>
      </c>
      <c r="W13" s="6" t="n">
        <v>51907</v>
      </c>
      <c r="X13" s="6" t="n">
        <v>20280</v>
      </c>
      <c r="Y13" s="6" t="n">
        <v>20382</v>
      </c>
      <c r="Z13" s="6" t="n">
        <v>18593</v>
      </c>
      <c r="AA13" s="9"/>
      <c r="AB13" s="9"/>
      <c r="AC13" s="9"/>
      <c r="AD13" s="9"/>
      <c r="AE13" s="9"/>
      <c r="AF13" s="9"/>
      <c r="AG13" s="9"/>
      <c r="AH13" s="8"/>
      <c r="AI13" s="8"/>
      <c r="AJ13" s="8"/>
      <c r="AK13" s="8"/>
      <c r="AL13" s="8"/>
      <c r="AM13" s="8"/>
      <c r="AN13" s="8"/>
      <c r="AO13" s="9" t="n">
        <f aca="false">Z13/SUM(Z$3:Z$32)</f>
        <v>0.0459067407183597</v>
      </c>
      <c r="AP13" s="2" t="n">
        <f aca="false">$AP$2*AO13</f>
        <v>20680.860203005</v>
      </c>
      <c r="AQ13" s="2" t="n">
        <v>21906</v>
      </c>
    </row>
    <row r="14" customFormat="false" ht="14.25" hidden="false" customHeight="false" outlineLevel="0" collapsed="false">
      <c r="A14" s="1" t="s">
        <v>18</v>
      </c>
      <c r="B14" s="7" t="n">
        <v>45973</v>
      </c>
      <c r="C14" s="6" t="n">
        <v>215000</v>
      </c>
      <c r="D14" s="6" t="n">
        <v>115792.862918107</v>
      </c>
      <c r="E14" s="6" t="n">
        <v>56876.7113801168</v>
      </c>
      <c r="F14" s="6" t="n">
        <v>60000</v>
      </c>
      <c r="G14" s="6" t="n">
        <v>35811.2895290146</v>
      </c>
      <c r="H14" s="6" t="n">
        <v>41720.152338596</v>
      </c>
      <c r="I14" s="8" t="n">
        <v>15825</v>
      </c>
      <c r="J14" s="8" t="n">
        <v>541026.016165834</v>
      </c>
      <c r="K14" s="8" t="n">
        <v>215000</v>
      </c>
      <c r="L14" s="8" t="n">
        <v>150000</v>
      </c>
      <c r="M14" s="8" t="n">
        <v>60000</v>
      </c>
      <c r="N14" s="8" t="n">
        <v>60000</v>
      </c>
      <c r="O14" s="8" t="n">
        <v>48000</v>
      </c>
      <c r="P14" s="8" t="n">
        <v>50000</v>
      </c>
      <c r="Q14" s="8" t="n">
        <v>583000</v>
      </c>
      <c r="R14" s="1" t="s">
        <v>20</v>
      </c>
      <c r="S14" s="7" t="n">
        <v>46003</v>
      </c>
      <c r="T14" s="6" t="n">
        <v>215000</v>
      </c>
      <c r="U14" s="8" t="n">
        <v>115701</v>
      </c>
      <c r="V14" s="6" t="n">
        <v>60052</v>
      </c>
      <c r="W14" s="6" t="n">
        <v>57994</v>
      </c>
      <c r="X14" s="6" t="n">
        <v>36309</v>
      </c>
      <c r="Y14" s="6" t="n">
        <v>39617</v>
      </c>
      <c r="Z14" s="8" t="n">
        <v>18810</v>
      </c>
      <c r="AA14" s="9" t="n">
        <v>0</v>
      </c>
      <c r="AB14" s="9" t="n">
        <v>0.295416627759572</v>
      </c>
      <c r="AC14" s="9" t="n">
        <v>0.0549133123926548</v>
      </c>
      <c r="AD14" s="9" t="n">
        <v>0</v>
      </c>
      <c r="AE14" s="9" t="n">
        <v>0.340359440592332</v>
      </c>
      <c r="AF14" s="9" t="n">
        <v>0.198461587441141</v>
      </c>
      <c r="AG14" s="9" t="n">
        <v>0.07758219120705</v>
      </c>
      <c r="AH14" s="8" t="n">
        <v>0</v>
      </c>
      <c r="AI14" s="8" t="n">
        <v>34207.1370818935</v>
      </c>
      <c r="AJ14" s="8" t="n">
        <v>3123.28861988322</v>
      </c>
      <c r="AK14" s="8" t="n">
        <v>0</v>
      </c>
      <c r="AL14" s="8" t="n">
        <v>12188.7104709854</v>
      </c>
      <c r="AM14" s="8" t="n">
        <v>8279.84766140401</v>
      </c>
      <c r="AN14" s="8" t="n">
        <v>41973.9838341662</v>
      </c>
      <c r="AO14" s="9" t="n">
        <f aca="false">Z14/SUM(Z$3:Z$32)</f>
        <v>0.0464425209978135</v>
      </c>
      <c r="AP14" s="2" t="n">
        <f aca="false">$AP$2*AO14</f>
        <v>20922.2277426195</v>
      </c>
      <c r="AQ14" s="2" t="n">
        <v>42579</v>
      </c>
    </row>
    <row r="15" customFormat="false" ht="14.25" hidden="false" customHeight="false" outlineLevel="0" collapsed="false">
      <c r="A15" s="1" t="s">
        <v>19</v>
      </c>
      <c r="B15" s="7" t="n">
        <v>45974</v>
      </c>
      <c r="C15" s="6" t="n">
        <v>200000</v>
      </c>
      <c r="D15" s="6" t="n">
        <v>93655.0055305814</v>
      </c>
      <c r="E15" s="6" t="n">
        <v>47783.7449335002</v>
      </c>
      <c r="F15" s="6" t="n">
        <v>37746</v>
      </c>
      <c r="G15" s="6" t="n">
        <v>42646.4721421261</v>
      </c>
      <c r="H15" s="6" t="n">
        <v>20386.2348085961</v>
      </c>
      <c r="I15" s="8" t="n">
        <v>22118</v>
      </c>
      <c r="J15" s="8" t="n">
        <v>464335.457414804</v>
      </c>
      <c r="K15" s="8" t="n">
        <v>200000</v>
      </c>
      <c r="L15" s="8" t="n">
        <v>130000</v>
      </c>
      <c r="M15" s="8" t="n">
        <v>60000</v>
      </c>
      <c r="N15" s="8" t="n">
        <v>60000</v>
      </c>
      <c r="O15" s="8" t="n">
        <v>48000</v>
      </c>
      <c r="P15" s="8" t="n">
        <v>25000</v>
      </c>
      <c r="Q15" s="8" t="n">
        <v>523000</v>
      </c>
      <c r="R15" s="1" t="s">
        <v>21</v>
      </c>
      <c r="S15" s="7" t="n">
        <v>46004</v>
      </c>
      <c r="T15" s="8" t="n">
        <v>199220</v>
      </c>
      <c r="U15" s="8" t="n">
        <v>92669</v>
      </c>
      <c r="V15" s="8" t="n">
        <v>53919</v>
      </c>
      <c r="W15" s="8" t="n">
        <v>44164</v>
      </c>
      <c r="X15" s="8" t="n">
        <v>37856</v>
      </c>
      <c r="Y15" s="8" t="n">
        <v>17203</v>
      </c>
      <c r="Z15" s="8" t="n">
        <v>20014</v>
      </c>
      <c r="AA15" s="9"/>
      <c r="AB15" s="9"/>
      <c r="AC15" s="9"/>
      <c r="AD15" s="9"/>
      <c r="AE15" s="9"/>
      <c r="AF15" s="9"/>
      <c r="AG15" s="9"/>
      <c r="AH15" s="8"/>
      <c r="AI15" s="8"/>
      <c r="AJ15" s="8"/>
      <c r="AK15" s="8"/>
      <c r="AL15" s="8"/>
      <c r="AM15" s="8"/>
      <c r="AN15" s="8"/>
      <c r="AO15" s="9" t="n">
        <f aca="false">Z15/SUM(Z$3:Z$32)</f>
        <v>0.0494152373870409</v>
      </c>
      <c r="AP15" s="2" t="n">
        <f aca="false">$AP$2*AO15</f>
        <v>22261.4282849967</v>
      </c>
      <c r="AQ15" s="2" t="n">
        <v>18489</v>
      </c>
    </row>
    <row r="16" customFormat="false" ht="14.25" hidden="false" customHeight="false" outlineLevel="0" collapsed="false">
      <c r="A16" s="1" t="s">
        <v>20</v>
      </c>
      <c r="B16" s="7" t="n">
        <v>45975</v>
      </c>
      <c r="C16" s="6" t="n">
        <v>168122</v>
      </c>
      <c r="D16" s="6" t="n">
        <v>33982.9011747805</v>
      </c>
      <c r="E16" s="6" t="n">
        <v>40265.2033317665</v>
      </c>
      <c r="F16" s="6" t="n">
        <v>38000</v>
      </c>
      <c r="G16" s="6" t="n">
        <v>23129.4441134494</v>
      </c>
      <c r="H16" s="6" t="n">
        <v>35706.789577049</v>
      </c>
      <c r="I16" s="8" t="n">
        <v>13193</v>
      </c>
      <c r="J16" s="8" t="n">
        <v>352399.338197045</v>
      </c>
      <c r="K16" s="8" t="n">
        <v>200000</v>
      </c>
      <c r="L16" s="8" t="n">
        <v>50000</v>
      </c>
      <c r="M16" s="8" t="n">
        <v>48000</v>
      </c>
      <c r="N16" s="8" t="n">
        <v>38000</v>
      </c>
      <c r="O16" s="8" t="n">
        <v>38000</v>
      </c>
      <c r="P16" s="8" t="n">
        <v>50000</v>
      </c>
      <c r="Q16" s="8" t="n">
        <v>424000</v>
      </c>
      <c r="R16" s="1" t="s">
        <v>15</v>
      </c>
      <c r="S16" s="7" t="n">
        <v>46005</v>
      </c>
      <c r="T16" s="8" t="n">
        <v>157192</v>
      </c>
      <c r="U16" s="8" t="n">
        <v>41582</v>
      </c>
      <c r="V16" s="8" t="n">
        <v>41239</v>
      </c>
      <c r="W16" s="8" t="n">
        <v>38429</v>
      </c>
      <c r="X16" s="8" t="n">
        <v>49941</v>
      </c>
      <c r="Y16" s="8" t="n">
        <v>38278</v>
      </c>
      <c r="Z16" s="8" t="n">
        <v>14410</v>
      </c>
      <c r="AA16" s="9"/>
      <c r="AB16" s="9"/>
      <c r="AC16" s="9"/>
      <c r="AD16" s="9"/>
      <c r="AE16" s="9"/>
      <c r="AF16" s="9"/>
      <c r="AG16" s="9"/>
      <c r="AH16" s="8"/>
      <c r="AI16" s="8"/>
      <c r="AJ16" s="8"/>
      <c r="AK16" s="8"/>
      <c r="AL16" s="8"/>
      <c r="AM16" s="8"/>
      <c r="AN16" s="8"/>
      <c r="AO16" s="9" t="n">
        <f aca="false">Z16/SUM(Z$3:Z$32)</f>
        <v>0.0355787733959858</v>
      </c>
      <c r="AP16" s="2" t="n">
        <f aca="false">$AP$2*AO16</f>
        <v>16028.1393817728</v>
      </c>
      <c r="AQ16" s="2" t="n">
        <v>42000</v>
      </c>
    </row>
    <row r="17" customFormat="false" ht="14.25" hidden="false" customHeight="false" outlineLevel="0" collapsed="false">
      <c r="A17" s="1" t="s">
        <v>21</v>
      </c>
      <c r="B17" s="7" t="n">
        <v>45976</v>
      </c>
      <c r="C17" s="6" t="n">
        <v>42006</v>
      </c>
      <c r="D17" s="10" t="n">
        <v>0</v>
      </c>
      <c r="E17" s="10" t="n">
        <v>0</v>
      </c>
      <c r="F17" s="6" t="n">
        <v>10221.524785627</v>
      </c>
      <c r="G17" s="10" t="n">
        <v>0</v>
      </c>
      <c r="H17" s="10" t="n">
        <v>0</v>
      </c>
      <c r="I17" s="6" t="n">
        <v>10172.0304914551</v>
      </c>
      <c r="J17" s="8" t="n">
        <v>62399.5552770821</v>
      </c>
      <c r="K17" s="8" t="n">
        <v>60000</v>
      </c>
      <c r="L17" s="8"/>
      <c r="M17" s="8"/>
      <c r="N17" s="8" t="n">
        <v>24000</v>
      </c>
      <c r="O17" s="8"/>
      <c r="P17" s="8"/>
      <c r="Q17" s="8" t="n">
        <v>84000</v>
      </c>
      <c r="R17" s="1" t="s">
        <v>17</v>
      </c>
      <c r="S17" s="7" t="n">
        <v>46006</v>
      </c>
      <c r="T17" s="8" t="n">
        <v>29124</v>
      </c>
      <c r="U17" s="8"/>
      <c r="V17" s="8"/>
      <c r="W17" s="8" t="n">
        <v>13294</v>
      </c>
      <c r="X17" s="8"/>
      <c r="Y17" s="8"/>
      <c r="Z17" s="8" t="n">
        <v>9186</v>
      </c>
      <c r="AA17" s="9"/>
      <c r="AB17" s="9"/>
      <c r="AC17" s="9"/>
      <c r="AD17" s="9"/>
      <c r="AE17" s="9"/>
      <c r="AF17" s="9"/>
      <c r="AG17" s="9"/>
      <c r="AH17" s="8"/>
      <c r="AI17" s="8"/>
      <c r="AJ17" s="8"/>
      <c r="AK17" s="8"/>
      <c r="AL17" s="8"/>
      <c r="AM17" s="8"/>
      <c r="AN17" s="8"/>
      <c r="AO17" s="9" t="n">
        <f aca="false">Z17/SUM(Z$3:Z$32)</f>
        <v>0.0226805421523612</v>
      </c>
      <c r="AP17" s="2" t="n">
        <f aca="false">$AP$2*AO17</f>
        <v>10217.5217460767</v>
      </c>
    </row>
    <row r="18" customFormat="false" ht="14.25" hidden="false" customHeight="false" outlineLevel="0" collapsed="false">
      <c r="A18" s="1" t="s">
        <v>15</v>
      </c>
      <c r="B18" s="7" t="n">
        <v>45977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1" t="s">
        <v>16</v>
      </c>
      <c r="S18" s="7" t="n">
        <v>46007</v>
      </c>
      <c r="T18" s="8"/>
      <c r="U18" s="8"/>
      <c r="V18" s="8"/>
      <c r="W18" s="8"/>
      <c r="X18" s="8"/>
      <c r="Y18" s="8"/>
      <c r="Z18" s="8"/>
      <c r="AO18" s="9" t="n">
        <f aca="false">Z18/SUM(Z$3:Z$32)</f>
        <v>0</v>
      </c>
      <c r="AP18" s="2" t="n">
        <f aca="false">$AP$2*AO18</f>
        <v>0</v>
      </c>
    </row>
    <row r="19" customFormat="false" ht="14.25" hidden="false" customHeight="false" outlineLevel="0" collapsed="false">
      <c r="A19" s="1" t="s">
        <v>17</v>
      </c>
      <c r="B19" s="7" t="n">
        <v>45978</v>
      </c>
      <c r="C19" s="6" t="n">
        <v>145238.793413374</v>
      </c>
      <c r="D19" s="6" t="n">
        <v>149833.559897722</v>
      </c>
      <c r="E19" s="6" t="n">
        <v>32482.4569369739</v>
      </c>
      <c r="F19" s="6" t="n">
        <v>26249.6434635586</v>
      </c>
      <c r="G19" s="6" t="n">
        <v>22942.2971590045</v>
      </c>
      <c r="H19" s="6" t="n">
        <v>20108.1042886933</v>
      </c>
      <c r="I19" s="8" t="n">
        <v>27276</v>
      </c>
      <c r="J19" s="8" t="n">
        <v>424130.855159325</v>
      </c>
      <c r="K19" s="8" t="n">
        <v>170000</v>
      </c>
      <c r="L19" s="8" t="n">
        <v>160000</v>
      </c>
      <c r="M19" s="8" t="n">
        <v>48000</v>
      </c>
      <c r="N19" s="8" t="n">
        <v>38000</v>
      </c>
      <c r="O19" s="8" t="n">
        <v>38000</v>
      </c>
      <c r="P19" s="8" t="n">
        <v>25000</v>
      </c>
      <c r="Q19" s="8" t="n">
        <v>479000</v>
      </c>
      <c r="R19" s="1" t="s">
        <v>18</v>
      </c>
      <c r="S19" s="7" t="n">
        <v>46008</v>
      </c>
      <c r="T19" s="8" t="n">
        <v>151374</v>
      </c>
      <c r="U19" s="8" t="n">
        <v>156323</v>
      </c>
      <c r="V19" s="8" t="n">
        <v>33769</v>
      </c>
      <c r="W19" s="8" t="n">
        <v>30791</v>
      </c>
      <c r="X19" s="8" t="n">
        <v>29927</v>
      </c>
      <c r="Y19" s="8" t="n">
        <v>13266</v>
      </c>
      <c r="Z19" s="8" t="n">
        <v>24145</v>
      </c>
      <c r="AO19" s="9" t="n">
        <f aca="false">Z19/SUM(Z$3:Z$32)</f>
        <v>0.0596148149650296</v>
      </c>
      <c r="AP19" s="2" t="n">
        <f aca="false">$AP$2*AO19</f>
        <v>26856.3098801461</v>
      </c>
      <c r="AQ19" s="2" t="n">
        <v>14258</v>
      </c>
    </row>
    <row r="20" customFormat="false" ht="14.25" hidden="false" customHeight="false" outlineLevel="0" collapsed="false">
      <c r="A20" s="1" t="s">
        <v>16</v>
      </c>
      <c r="B20" s="7" t="n">
        <v>45979</v>
      </c>
      <c r="C20" s="6" t="n">
        <v>215000</v>
      </c>
      <c r="D20" s="6" t="n">
        <v>151298.064309512</v>
      </c>
      <c r="E20" s="6" t="n">
        <v>51633.866824917</v>
      </c>
      <c r="F20" s="6" t="n">
        <v>49447.430211081</v>
      </c>
      <c r="G20" s="6" t="n">
        <v>17700.2629786036</v>
      </c>
      <c r="H20" s="6" t="n">
        <v>20037.2673984065</v>
      </c>
      <c r="I20" s="8" t="n">
        <v>17397</v>
      </c>
      <c r="J20" s="8" t="n">
        <v>522513.89172252</v>
      </c>
      <c r="K20" s="8" t="n">
        <v>215000</v>
      </c>
      <c r="L20" s="8" t="n">
        <v>160000</v>
      </c>
      <c r="M20" s="8" t="n">
        <v>60000</v>
      </c>
      <c r="N20" s="8" t="n">
        <v>60000</v>
      </c>
      <c r="O20" s="8" t="n">
        <v>38000</v>
      </c>
      <c r="P20" s="8" t="n">
        <v>25000</v>
      </c>
      <c r="Q20" s="8" t="n">
        <v>558000</v>
      </c>
      <c r="R20" s="1" t="s">
        <v>19</v>
      </c>
      <c r="S20" s="7" t="n">
        <v>46009</v>
      </c>
      <c r="T20" s="8" t="n">
        <v>236873</v>
      </c>
      <c r="U20" s="8" t="n">
        <v>148765</v>
      </c>
      <c r="V20" s="8" t="n">
        <v>51010</v>
      </c>
      <c r="W20" s="8" t="n">
        <v>56694</v>
      </c>
      <c r="X20" s="8" t="n">
        <v>43458</v>
      </c>
      <c r="Y20" s="8" t="n">
        <v>24022</v>
      </c>
      <c r="Z20" s="8" t="n">
        <v>16474</v>
      </c>
      <c r="AO20" s="9" t="n">
        <f aca="false">Z20/SUM(Z$3:Z$32)</f>
        <v>0.0406748586346613</v>
      </c>
      <c r="AP20" s="2" t="n">
        <f aca="false">$AP$2*AO20</f>
        <v>18323.9117401337</v>
      </c>
      <c r="AQ20" s="2" t="n">
        <v>24897</v>
      </c>
    </row>
    <row r="21" customFormat="false" ht="14.25" hidden="false" customHeight="false" outlineLevel="0" collapsed="false">
      <c r="A21" s="1" t="s">
        <v>18</v>
      </c>
      <c r="B21" s="7" t="n">
        <v>45980</v>
      </c>
      <c r="C21" s="6" t="n">
        <v>215000</v>
      </c>
      <c r="D21" s="6" t="n">
        <v>123131.898064153</v>
      </c>
      <c r="E21" s="6" t="n">
        <v>59483.4010484383</v>
      </c>
      <c r="F21" s="6" t="n">
        <v>59377.9616330177</v>
      </c>
      <c r="G21" s="6" t="n">
        <v>36327.6231776883</v>
      </c>
      <c r="H21" s="6" t="n">
        <v>37543.5518519732</v>
      </c>
      <c r="I21" s="8" t="n">
        <v>16075</v>
      </c>
      <c r="J21" s="8" t="n">
        <v>546939.43577527</v>
      </c>
      <c r="K21" s="8" t="n">
        <v>215000</v>
      </c>
      <c r="L21" s="8" t="n">
        <v>150000</v>
      </c>
      <c r="M21" s="8" t="n">
        <v>60000</v>
      </c>
      <c r="N21" s="8" t="n">
        <v>60000</v>
      </c>
      <c r="O21" s="8" t="n">
        <v>48000</v>
      </c>
      <c r="P21" s="8" t="n">
        <v>50000</v>
      </c>
      <c r="Q21" s="8" t="n">
        <v>583000</v>
      </c>
      <c r="R21" s="1" t="s">
        <v>20</v>
      </c>
      <c r="S21" s="7" t="n">
        <v>46010</v>
      </c>
      <c r="T21" s="8" t="n">
        <v>215000</v>
      </c>
      <c r="U21" s="8" t="n">
        <v>127407</v>
      </c>
      <c r="V21" s="8" t="n">
        <v>61704</v>
      </c>
      <c r="W21" s="8" t="n">
        <v>60092</v>
      </c>
      <c r="X21" s="8" t="n">
        <v>39961</v>
      </c>
      <c r="Y21" s="8" t="n">
        <v>43123</v>
      </c>
      <c r="Z21" s="8" t="n">
        <v>17582</v>
      </c>
      <c r="AO21" s="9" t="n">
        <f aca="false">Z21/SUM(Z$3:Z$32)</f>
        <v>0.0434105478034852</v>
      </c>
      <c r="AP21" s="2" t="n">
        <f aca="false">$AP$2*AO21</f>
        <v>19556.3321728196</v>
      </c>
      <c r="AQ21" s="2" t="n">
        <v>47000</v>
      </c>
    </row>
    <row r="22" customFormat="false" ht="14.25" hidden="false" customHeight="false" outlineLevel="0" collapsed="false">
      <c r="A22" s="1" t="s">
        <v>19</v>
      </c>
      <c r="B22" s="7" t="n">
        <v>45981</v>
      </c>
      <c r="C22" s="6" t="n">
        <v>191884</v>
      </c>
      <c r="D22" s="6" t="n">
        <v>91008.7833235131</v>
      </c>
      <c r="E22" s="6" t="n">
        <v>51596.5442147451</v>
      </c>
      <c r="F22" s="6" t="n">
        <v>34314.7542698385</v>
      </c>
      <c r="G22" s="6" t="n">
        <v>36258.5227637394</v>
      </c>
      <c r="H22" s="6" t="n">
        <v>24259.7204126608</v>
      </c>
      <c r="I22" s="8" t="n">
        <v>17995</v>
      </c>
      <c r="J22" s="8" t="n">
        <v>447317.324984497</v>
      </c>
      <c r="K22" s="8" t="n">
        <v>200000</v>
      </c>
      <c r="L22" s="8" t="n">
        <v>130000</v>
      </c>
      <c r="M22" s="8" t="n">
        <v>60000</v>
      </c>
      <c r="N22" s="8" t="n">
        <v>60000</v>
      </c>
      <c r="O22" s="8" t="n">
        <v>48000</v>
      </c>
      <c r="P22" s="8" t="n">
        <v>25000</v>
      </c>
      <c r="Q22" s="8" t="n">
        <v>523000</v>
      </c>
      <c r="R22" s="1" t="s">
        <v>21</v>
      </c>
      <c r="S22" s="7" t="n">
        <v>46011</v>
      </c>
      <c r="T22" s="8" t="n">
        <v>204376</v>
      </c>
      <c r="U22" s="8" t="n">
        <v>109034</v>
      </c>
      <c r="V22" s="8" t="n">
        <v>55604</v>
      </c>
      <c r="W22" s="8" t="n">
        <v>51428</v>
      </c>
      <c r="X22" s="8" t="n">
        <v>38390</v>
      </c>
      <c r="Y22" s="8" t="n">
        <v>23443</v>
      </c>
      <c r="Z22" s="8" t="n">
        <v>17594</v>
      </c>
      <c r="AO22" s="9" t="n">
        <f aca="false">Z22/SUM(Z$3:Z$32)</f>
        <v>0.0434401762060357</v>
      </c>
      <c r="AP22" s="2" t="n">
        <f aca="false">$AP$2*AO22</f>
        <v>19569.679686531</v>
      </c>
      <c r="AQ22" s="2" t="n">
        <v>25000</v>
      </c>
    </row>
    <row r="23" customFormat="false" ht="14.25" hidden="false" customHeight="false" outlineLevel="0" collapsed="false">
      <c r="A23" s="1" t="s">
        <v>20</v>
      </c>
      <c r="B23" s="7" t="n">
        <v>45982</v>
      </c>
      <c r="C23" s="6" t="n">
        <v>150687</v>
      </c>
      <c r="D23" s="6" t="n">
        <v>31072.5016421262</v>
      </c>
      <c r="E23" s="6" t="n">
        <v>45567.9604980317</v>
      </c>
      <c r="F23" s="6" t="n">
        <v>31516.1128316801</v>
      </c>
      <c r="G23" s="6" t="n">
        <v>25926.0914224366</v>
      </c>
      <c r="H23" s="6" t="n">
        <v>37586.6283393098</v>
      </c>
      <c r="I23" s="8" t="n">
        <v>14636</v>
      </c>
      <c r="J23" s="8" t="n">
        <v>336992.294733584</v>
      </c>
      <c r="K23" s="8" t="n">
        <v>200000</v>
      </c>
      <c r="L23" s="8" t="n">
        <v>50000</v>
      </c>
      <c r="M23" s="8" t="n">
        <v>48000</v>
      </c>
      <c r="N23" s="8" t="n">
        <v>38000</v>
      </c>
      <c r="O23" s="8" t="n">
        <v>38000</v>
      </c>
      <c r="P23" s="8" t="n">
        <v>50000</v>
      </c>
      <c r="Q23" s="8" t="n">
        <v>424000</v>
      </c>
      <c r="R23" s="1" t="s">
        <v>15</v>
      </c>
      <c r="S23" s="7" t="n">
        <v>46012</v>
      </c>
      <c r="T23" s="8" t="n">
        <v>165603</v>
      </c>
      <c r="U23" s="8" t="n">
        <v>43362</v>
      </c>
      <c r="V23" s="8" t="n">
        <v>40308</v>
      </c>
      <c r="W23" s="8" t="n">
        <v>33407</v>
      </c>
      <c r="X23" s="8" t="n">
        <v>26858</v>
      </c>
      <c r="Y23" s="8" t="n">
        <v>40898</v>
      </c>
      <c r="Z23" s="8" t="n">
        <v>13391</v>
      </c>
      <c r="AO23" s="9" t="n">
        <f aca="false">Z23/SUM(Z$3:Z$32)</f>
        <v>0.0330628282127443</v>
      </c>
      <c r="AP23" s="2" t="n">
        <f aca="false">$AP$2*AO23</f>
        <v>14894.7130091131</v>
      </c>
      <c r="AQ23" s="2" t="n">
        <v>44000</v>
      </c>
      <c r="AU23" s="1" t="s">
        <v>22</v>
      </c>
    </row>
    <row r="24" customFormat="false" ht="14.25" hidden="false" customHeight="false" outlineLevel="0" collapsed="false">
      <c r="A24" s="1" t="s">
        <v>21</v>
      </c>
      <c r="B24" s="7" t="n">
        <v>45983</v>
      </c>
      <c r="C24" s="6" t="n">
        <v>35043.8670206721</v>
      </c>
      <c r="D24" s="10" t="n">
        <v>0</v>
      </c>
      <c r="E24" s="10" t="n">
        <v>0</v>
      </c>
      <c r="F24" s="6" t="n">
        <v>15155.1385868607</v>
      </c>
      <c r="G24" s="10" t="n">
        <v>0</v>
      </c>
      <c r="H24" s="10" t="n">
        <v>0</v>
      </c>
      <c r="I24" s="6" t="n">
        <v>9958.24050262108</v>
      </c>
      <c r="J24" s="8" t="n">
        <v>60157.2461101538</v>
      </c>
      <c r="K24" s="8" t="n">
        <v>60000</v>
      </c>
      <c r="L24" s="8"/>
      <c r="M24" s="8"/>
      <c r="N24" s="8" t="n">
        <v>24000</v>
      </c>
      <c r="O24" s="8"/>
      <c r="P24" s="8"/>
      <c r="Q24" s="8" t="n">
        <v>84000</v>
      </c>
      <c r="R24" s="1" t="s">
        <v>17</v>
      </c>
      <c r="S24" s="7" t="n">
        <v>46013</v>
      </c>
      <c r="T24" s="8" t="n">
        <v>32494</v>
      </c>
      <c r="U24" s="8"/>
      <c r="V24" s="8"/>
      <c r="W24" s="8" t="n">
        <v>12264</v>
      </c>
      <c r="X24" s="8"/>
      <c r="Y24" s="8"/>
      <c r="Z24" s="8" t="n">
        <v>9215</v>
      </c>
      <c r="AO24" s="9" t="n">
        <f aca="false">Z24/SUM(Z$3:Z$32)</f>
        <v>0.0227521441251915</v>
      </c>
      <c r="AP24" s="2" t="n">
        <f aca="false">$AP$2*AO24</f>
        <v>10249.7782375459</v>
      </c>
    </row>
    <row r="25" customFormat="false" ht="14.25" hidden="false" customHeight="false" outlineLevel="0" collapsed="false">
      <c r="A25" s="1" t="s">
        <v>15</v>
      </c>
      <c r="B25" s="7" t="n">
        <v>45984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1" t="s">
        <v>16</v>
      </c>
      <c r="S25" s="7" t="n">
        <v>46014</v>
      </c>
      <c r="T25" s="8"/>
      <c r="U25" s="8"/>
      <c r="V25" s="8"/>
      <c r="W25" s="8"/>
      <c r="X25" s="8"/>
      <c r="Y25" s="8"/>
      <c r="Z25" s="8"/>
      <c r="AO25" s="9" t="n">
        <f aca="false">Z25/SUM(Z$3:Z$32)</f>
        <v>0</v>
      </c>
      <c r="AP25" s="2" t="n">
        <f aca="false">$AP$2*AO25</f>
        <v>0</v>
      </c>
    </row>
    <row r="26" customFormat="false" ht="14.25" hidden="false" customHeight="false" outlineLevel="0" collapsed="false">
      <c r="A26" s="1" t="s">
        <v>17</v>
      </c>
      <c r="B26" s="7" t="n">
        <v>45985</v>
      </c>
      <c r="C26" s="6" t="n">
        <v>161002.599182001</v>
      </c>
      <c r="D26" s="6" t="n">
        <v>150351.472233116</v>
      </c>
      <c r="E26" s="6" t="n">
        <v>36586.9618819308</v>
      </c>
      <c r="F26" s="6" t="n">
        <v>32806.6939253803</v>
      </c>
      <c r="G26" s="6" t="n">
        <v>14174.222411267</v>
      </c>
      <c r="H26" s="6" t="n">
        <v>12916.2454140407</v>
      </c>
      <c r="I26" s="6" t="n">
        <v>28127.55</v>
      </c>
      <c r="J26" s="8" t="n">
        <v>435965.745047736</v>
      </c>
      <c r="K26" s="8" t="n">
        <v>170000</v>
      </c>
      <c r="L26" s="8" t="n">
        <v>160000</v>
      </c>
      <c r="M26" s="8" t="n">
        <v>48000</v>
      </c>
      <c r="N26" s="8" t="n">
        <v>38000</v>
      </c>
      <c r="O26" s="8" t="n">
        <v>38000</v>
      </c>
      <c r="P26" s="8" t="n">
        <v>25000</v>
      </c>
      <c r="Q26" s="8" t="n">
        <v>479000</v>
      </c>
      <c r="R26" s="1" t="s">
        <v>18</v>
      </c>
      <c r="S26" s="7" t="n">
        <v>46015</v>
      </c>
      <c r="T26" s="8" t="n">
        <v>150447</v>
      </c>
      <c r="U26" s="8" t="n">
        <v>149103</v>
      </c>
      <c r="V26" s="8" t="n">
        <v>29317</v>
      </c>
      <c r="W26" s="8" t="n">
        <v>29034</v>
      </c>
      <c r="X26" s="8" t="n">
        <v>19774</v>
      </c>
      <c r="Y26" s="8" t="n">
        <v>17599</v>
      </c>
      <c r="Z26" s="8" t="n">
        <v>24756</v>
      </c>
      <c r="AO26" s="9" t="n">
        <f aca="false">Z26/SUM(Z$3:Z$32)</f>
        <v>0.0611233944615561</v>
      </c>
      <c r="AP26" s="2" t="n">
        <f aca="false">$AP$2*AO26</f>
        <v>27535.9207866182</v>
      </c>
      <c r="AQ26" s="2" t="n">
        <v>19000</v>
      </c>
    </row>
    <row r="27" customFormat="false" ht="14.25" hidden="false" customHeight="false" outlineLevel="0" collapsed="false">
      <c r="A27" s="1" t="s">
        <v>16</v>
      </c>
      <c r="B27" s="7" t="n">
        <v>45986</v>
      </c>
      <c r="C27" s="6" t="n">
        <v>214414.003941136</v>
      </c>
      <c r="D27" s="6" t="n">
        <v>152884.043118249</v>
      </c>
      <c r="E27" s="6" t="n">
        <v>52265.2278846723</v>
      </c>
      <c r="F27" s="6" t="n">
        <v>50552</v>
      </c>
      <c r="G27" s="6" t="n">
        <v>22018.3286517106</v>
      </c>
      <c r="H27" s="6" t="n">
        <v>23131.1164444437</v>
      </c>
      <c r="I27" s="6" t="n">
        <v>17607.15</v>
      </c>
      <c r="J27" s="8" t="n">
        <v>362380.676921963</v>
      </c>
      <c r="K27" s="8" t="n">
        <v>215000</v>
      </c>
      <c r="L27" s="8" t="n">
        <v>160000</v>
      </c>
      <c r="M27" s="8" t="n">
        <v>60000</v>
      </c>
      <c r="N27" s="8" t="n">
        <v>60000</v>
      </c>
      <c r="O27" s="8" t="n">
        <v>38000</v>
      </c>
      <c r="P27" s="8" t="n">
        <v>25000</v>
      </c>
      <c r="Q27" s="8" t="n">
        <v>558000</v>
      </c>
      <c r="R27" s="1" t="s">
        <v>19</v>
      </c>
      <c r="S27" s="7" t="n">
        <v>46016</v>
      </c>
      <c r="T27" s="8" t="n">
        <v>214825</v>
      </c>
      <c r="U27" s="8" t="n">
        <f aca="false">AVERAGE(U20,U13,U6)</f>
        <v>148517.666666667</v>
      </c>
      <c r="V27" s="8" t="n">
        <v>48401</v>
      </c>
      <c r="W27" s="8" t="n">
        <v>52263</v>
      </c>
      <c r="X27" s="8" t="n">
        <v>23587</v>
      </c>
      <c r="Y27" s="8" t="n">
        <v>23265</v>
      </c>
      <c r="Z27" s="8" t="n">
        <v>9215</v>
      </c>
      <c r="AO27" s="9" t="n">
        <f aca="false">Z27/SUM(Z$3:Z$32)</f>
        <v>0.0227521441251915</v>
      </c>
      <c r="AP27" s="2" t="n">
        <f aca="false">$AP$2*AO27</f>
        <v>10249.7782375459</v>
      </c>
      <c r="AQ27" s="2" t="n">
        <v>25000</v>
      </c>
    </row>
    <row r="28" customFormat="false" ht="14.25" hidden="false" customHeight="false" outlineLevel="0" collapsed="false">
      <c r="A28" s="1" t="s">
        <v>18</v>
      </c>
      <c r="B28" s="7" t="n">
        <v>45987</v>
      </c>
      <c r="C28" s="6" t="n">
        <v>215000</v>
      </c>
      <c r="D28" s="6" t="n">
        <v>117965.489787273</v>
      </c>
      <c r="E28" s="6" t="n">
        <v>57353.2228946167</v>
      </c>
      <c r="F28" s="6" t="n">
        <v>60000</v>
      </c>
      <c r="G28" s="6" t="n">
        <v>35853.1816549711</v>
      </c>
      <c r="H28" s="6" t="n">
        <v>46637.4769563523</v>
      </c>
      <c r="I28" s="6" t="n">
        <v>15807.66</v>
      </c>
      <c r="J28" s="8" t="n">
        <v>548617.031293213</v>
      </c>
      <c r="K28" s="8" t="n">
        <v>215000</v>
      </c>
      <c r="L28" s="8" t="n">
        <v>150000</v>
      </c>
      <c r="M28" s="8" t="n">
        <v>60000</v>
      </c>
      <c r="N28" s="8" t="n">
        <v>60000</v>
      </c>
      <c r="O28" s="8" t="n">
        <v>48000</v>
      </c>
      <c r="P28" s="8" t="n">
        <v>50000</v>
      </c>
      <c r="Q28" s="8" t="n">
        <v>583000</v>
      </c>
      <c r="R28" s="1" t="s">
        <v>20</v>
      </c>
      <c r="S28" s="7" t="n">
        <v>46017</v>
      </c>
      <c r="T28" s="8" t="n">
        <f aca="false">AVERAGE(T21,T14,T7)*98%</f>
        <v>213091.526666667</v>
      </c>
      <c r="U28" s="8" t="n">
        <f aca="false">AVERAGE(U21,U14,U7)*98%</f>
        <v>122189.34</v>
      </c>
      <c r="V28" s="8" t="n">
        <f aca="false">AVERAGE(V21,V14,V7)*98%</f>
        <v>59460.8466666667</v>
      </c>
      <c r="W28" s="8" t="n">
        <f aca="false">AVERAGE(W21,W14,W7)*98%</f>
        <v>58146.34</v>
      </c>
      <c r="X28" s="8" t="n">
        <f aca="false">AVERAGE(X21,X14,X7)*98%</f>
        <v>37405.9466666667</v>
      </c>
      <c r="Y28" s="8" t="n">
        <f aca="false">AVERAGE(Y21,Y14,Y7)*98%</f>
        <v>42354.62</v>
      </c>
      <c r="Z28" s="8" t="n">
        <f aca="false">AVERAGE(Z21,Z14,Z7)*98%</f>
        <v>17610.6</v>
      </c>
      <c r="AO28" s="9" t="n">
        <f aca="false">Z28/SUM(Z$3:Z$32)</f>
        <v>0.0434811621628971</v>
      </c>
      <c r="AP28" s="2" t="n">
        <f aca="false">$AP$2*AO28</f>
        <v>19588.1437471651</v>
      </c>
      <c r="AQ28" s="2" t="n">
        <v>46000</v>
      </c>
    </row>
    <row r="29" customFormat="false" ht="14.25" hidden="false" customHeight="false" outlineLevel="0" collapsed="false">
      <c r="A29" s="1" t="s">
        <v>19</v>
      </c>
      <c r="B29" s="7" t="n">
        <v>45988</v>
      </c>
      <c r="C29" s="6" t="n">
        <v>195003</v>
      </c>
      <c r="D29" s="6" t="n">
        <v>92835.9564106401</v>
      </c>
      <c r="E29" s="6" t="n">
        <v>50740.2554982671</v>
      </c>
      <c r="F29" s="6" t="n">
        <v>39196.1934714771</v>
      </c>
      <c r="G29" s="6" t="n">
        <v>37950.1200917677</v>
      </c>
      <c r="H29" s="6" t="n">
        <v>17985.8693459134</v>
      </c>
      <c r="I29" s="6" t="n">
        <v>19602</v>
      </c>
      <c r="J29" s="8" t="n">
        <v>340875.438407425</v>
      </c>
      <c r="K29" s="8" t="n">
        <v>200000</v>
      </c>
      <c r="L29" s="8" t="n">
        <v>130000</v>
      </c>
      <c r="M29" s="8" t="n">
        <v>60000</v>
      </c>
      <c r="N29" s="8" t="n">
        <v>60000</v>
      </c>
      <c r="O29" s="8" t="n">
        <v>48000</v>
      </c>
      <c r="P29" s="8" t="n">
        <v>25000</v>
      </c>
      <c r="Q29" s="8" t="n">
        <v>523000</v>
      </c>
      <c r="R29" s="1" t="s">
        <v>21</v>
      </c>
      <c r="S29" s="7" t="n">
        <v>46018</v>
      </c>
      <c r="T29" s="8" t="n">
        <f aca="false">AVERAGE(T22,T15,T8)*98%</f>
        <v>196921.2</v>
      </c>
      <c r="U29" s="8" t="n">
        <f aca="false">AVERAGE(U22,U15,U8)*98%</f>
        <v>99181.5533333333</v>
      </c>
      <c r="V29" s="8" t="n">
        <f aca="false">AVERAGE(V22,V15,V8)*98%</f>
        <v>50472.2866666667</v>
      </c>
      <c r="W29" s="8" t="n">
        <f aca="false">AVERAGE(W22,W15,W8)*98%</f>
        <v>44939.2066666667</v>
      </c>
      <c r="X29" s="8" t="n">
        <f aca="false">AVERAGE(X22,X15,X8)*98%</f>
        <v>34755.7</v>
      </c>
      <c r="Y29" s="8" t="n">
        <f aca="false">AVERAGE(Y22,Y15,Y8)*98%</f>
        <v>21120.3066666667</v>
      </c>
      <c r="Z29" s="8" t="n">
        <f aca="false">AVERAGE(Z22,Z15,Z8)*98%</f>
        <v>17794.5133333333</v>
      </c>
      <c r="AO29" s="9" t="n">
        <f aca="false">Z29/SUM(Z$3:Z$32)</f>
        <v>0.0439352503524299</v>
      </c>
      <c r="AP29" s="2" t="n">
        <f aca="false">$AP$2*AO29</f>
        <v>19792.7092253631</v>
      </c>
      <c r="AQ29" s="2" t="n">
        <v>23540</v>
      </c>
    </row>
    <row r="30" customFormat="false" ht="14.25" hidden="false" customHeight="false" outlineLevel="0" collapsed="false">
      <c r="A30" s="1" t="s">
        <v>20</v>
      </c>
      <c r="B30" s="7" t="n">
        <v>45989</v>
      </c>
      <c r="C30" s="6" t="n">
        <v>162214</v>
      </c>
      <c r="D30" s="6" t="n">
        <v>30965.0725839848</v>
      </c>
      <c r="E30" s="6" t="n">
        <v>42597.7780718545</v>
      </c>
      <c r="F30" s="6" t="n">
        <v>33040.9793191781</v>
      </c>
      <c r="G30" s="6" t="n">
        <v>23659.2043564446</v>
      </c>
      <c r="H30" s="6" t="n">
        <v>29914.2273170363</v>
      </c>
      <c r="I30" s="6" t="n">
        <v>13603.59</v>
      </c>
      <c r="J30" s="8" t="n">
        <v>291426.189064513</v>
      </c>
      <c r="K30" s="8" t="n">
        <v>200000</v>
      </c>
      <c r="L30" s="8" t="n">
        <v>50000</v>
      </c>
      <c r="M30" s="8" t="n">
        <v>48000</v>
      </c>
      <c r="N30" s="8" t="n">
        <v>38000</v>
      </c>
      <c r="O30" s="8" t="n">
        <v>38000</v>
      </c>
      <c r="P30" s="8" t="n">
        <v>50000</v>
      </c>
      <c r="Q30" s="8" t="n">
        <v>424000</v>
      </c>
      <c r="R30" s="1" t="s">
        <v>15</v>
      </c>
      <c r="S30" s="7" t="n">
        <v>46019</v>
      </c>
      <c r="T30" s="8" t="n">
        <f aca="false">AVERAGE(T23,T16,T9)*98%</f>
        <v>160557.32</v>
      </c>
      <c r="U30" s="8" t="n">
        <f aca="false">AVERAGE(U23,U16,U9)*98%</f>
        <v>38337.9266666667</v>
      </c>
      <c r="V30" s="8" t="n">
        <f aca="false">AVERAGE(V23,V16,V9)*98%</f>
        <v>41921.46</v>
      </c>
      <c r="W30" s="8" t="n">
        <f aca="false">AVERAGE(W23,W16,W9)*98%</f>
        <v>36169.84</v>
      </c>
      <c r="X30" s="8" t="n">
        <f aca="false">AVERAGE(X23,X16,X9)*98%</f>
        <v>33760.02</v>
      </c>
      <c r="Y30" s="8" t="n">
        <f aca="false">AVERAGE(Y23,Y16,Y9)*98%</f>
        <v>39617.8066666667</v>
      </c>
      <c r="Z30" s="8" t="n">
        <f aca="false">AVERAGE(Z23,Z16,Z9)*98%</f>
        <v>14254.1</v>
      </c>
      <c r="AO30" s="9" t="n">
        <f aca="false">Z30/SUM(Z$3:Z$32)</f>
        <v>0.0351938510661847</v>
      </c>
      <c r="AP30" s="2" t="n">
        <f aca="false">$AP$2*AO30</f>
        <v>15854.7329328056</v>
      </c>
      <c r="AQ30" s="2" t="n">
        <v>41220</v>
      </c>
    </row>
    <row r="31" customFormat="false" ht="14.25" hidden="false" customHeight="false" outlineLevel="0" collapsed="false">
      <c r="A31" s="1" t="s">
        <v>21</v>
      </c>
      <c r="B31" s="7" t="n">
        <v>45990</v>
      </c>
      <c r="R31" s="1" t="s">
        <v>17</v>
      </c>
      <c r="S31" s="7" t="n">
        <v>46020</v>
      </c>
      <c r="T31" s="8" t="n">
        <f aca="false">AVERAGE(T24,T17,T10)*98%</f>
        <v>31470.4133333333</v>
      </c>
      <c r="U31" s="8"/>
      <c r="V31" s="8"/>
      <c r="W31" s="8" t="n">
        <f aca="false">AVERAGE(W24,W17,W10)*98%</f>
        <v>13767.04</v>
      </c>
      <c r="X31" s="8"/>
      <c r="Y31" s="8"/>
      <c r="Z31" s="8" t="n">
        <f aca="false">AVERAGE(Z24,Z17,Z10)*98%</f>
        <v>8988.56</v>
      </c>
      <c r="AO31" s="9" t="n">
        <f aca="false">Z31/SUM(Z$3:Z$32)</f>
        <v>0.0221930561690647</v>
      </c>
      <c r="AP31" s="2" t="n">
        <f aca="false">$AP$2*AO31</f>
        <v>9997.91065381181</v>
      </c>
    </row>
    <row r="32" customFormat="false" ht="14.25" hidden="false" customHeight="false" outlineLevel="0" collapsed="false">
      <c r="A32" s="1" t="s">
        <v>15</v>
      </c>
      <c r="B32" s="7" t="n">
        <v>45991</v>
      </c>
      <c r="R32" s="1" t="s">
        <v>16</v>
      </c>
      <c r="S32" s="7" t="n">
        <v>46021</v>
      </c>
      <c r="T32" s="8"/>
      <c r="U32" s="8"/>
      <c r="V32" s="8"/>
      <c r="W32" s="8"/>
      <c r="X32" s="8"/>
      <c r="Y32" s="8"/>
      <c r="Z32" s="8"/>
      <c r="AO32" s="9" t="n">
        <f aca="false">Z32/SUM(Z$3:Z$32)</f>
        <v>0</v>
      </c>
      <c r="AP32" s="1"/>
    </row>
    <row r="33" customFormat="false" ht="14.25" hidden="false" customHeight="false" outlineLevel="0" collapsed="false">
      <c r="B33" s="1" t="s">
        <v>23</v>
      </c>
      <c r="R33" s="1" t="s">
        <v>18</v>
      </c>
      <c r="S33" s="7" t="n">
        <v>46022</v>
      </c>
      <c r="T33" s="8" t="n">
        <f aca="false">SUM(T3:T32)</f>
        <v>3934569.46</v>
      </c>
      <c r="U33" s="8" t="n">
        <f aca="false">SUM(U3:U32)</f>
        <v>2241431.48666667</v>
      </c>
      <c r="V33" s="8" t="n">
        <f aca="false">SUM(V3:V32)</f>
        <v>942388.593333333</v>
      </c>
      <c r="W33" s="8" t="n">
        <f aca="false">SUM(W3:W32)</f>
        <v>945646.426666667</v>
      </c>
      <c r="X33" s="8" t="n">
        <f aca="false">SUM(X3:X32)</f>
        <v>633063.666666667</v>
      </c>
      <c r="Y33" s="8" t="n">
        <f aca="false">SUM(Y3:Y32)</f>
        <v>575257.733333333</v>
      </c>
      <c r="Z33" s="8" t="n">
        <f aca="false">SUM(Z3:Z32)</f>
        <v>405016.773333333</v>
      </c>
      <c r="AO33" s="9" t="n">
        <f aca="false">Z33/SUM(Z$3:Z$32)</f>
        <v>1</v>
      </c>
      <c r="AP33" s="2" t="n">
        <f aca="false">SUM(AP3:AP31)</f>
        <v>450497.244617805</v>
      </c>
      <c r="AQ33" s="2" t="n">
        <f aca="false">AQ1-AP2</f>
        <v>167772.755382195</v>
      </c>
    </row>
    <row r="34" customFormat="false" ht="14.25" hidden="false" customHeight="false" outlineLevel="0" collapsed="false">
      <c r="T34" s="1" t="n">
        <f aca="false">T33/SUM($T$33:$U$33)</f>
        <v>0.637073972944188</v>
      </c>
      <c r="U34" s="1" t="n">
        <f aca="false">U33/SUM($T$33:$U$33)</f>
        <v>0.362926027055812</v>
      </c>
      <c r="AO34" s="1" t="n">
        <f aca="false">T34/SUM(T$3:T$32)</f>
        <v>1.61917073626701E-007</v>
      </c>
    </row>
    <row r="53" customFormat="false" ht="14.25" hidden="false" customHeight="false" outlineLevel="0" collapsed="false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</sheetData>
  <mergeCells count="1">
    <mergeCell ref="R2:S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048576"/>
  <sheetViews>
    <sheetView showFormulas="false" showGridLines="false" showRowColHeaders="true" showZeros="true" rightToLeft="false" tabSelected="false" showOutlineSymbols="true" defaultGridColor="true" view="normal" topLeftCell="A1" colorId="64" zoomScale="87" zoomScaleNormal="87" zoomScalePageLayoutView="100" workbookViewId="0">
      <pane xSplit="7" ySplit="10" topLeftCell="H11" activePane="bottomRight" state="frozen"/>
      <selection pane="topLeft" activeCell="A1" activeCellId="0" sqref="A1"/>
      <selection pane="topRight" activeCell="H1" activeCellId="0" sqref="H1"/>
      <selection pane="bottomLeft" activeCell="A11" activeCellId="0" sqref="A11"/>
      <selection pane="bottomRight" activeCell="P11" activeCellId="1" sqref="F1:N2 P11"/>
    </sheetView>
  </sheetViews>
  <sheetFormatPr defaultColWidth="11.54296875" defaultRowHeight="14.25" customHeight="true" zeroHeight="false" outlineLevelRow="0" outlineLevelCol="0"/>
  <cols>
    <col collapsed="false" customWidth="true" hidden="false" outlineLevel="0" max="1" min="1" style="11" width="11.27"/>
    <col collapsed="false" customWidth="true" hidden="false" outlineLevel="0" max="2" min="2" style="11" width="13.45"/>
    <col collapsed="false" customWidth="true" hidden="false" outlineLevel="0" max="4" min="4" style="11" width="11.45"/>
    <col collapsed="false" customWidth="true" hidden="false" outlineLevel="0" max="5" min="5" style="11" width="10.45"/>
    <col collapsed="false" customWidth="true" hidden="false" outlineLevel="0" max="6" min="6" style="11" width="10.54"/>
    <col collapsed="false" customWidth="true" hidden="false" outlineLevel="0" max="7" min="7" style="1" width="37.27"/>
    <col collapsed="false" customWidth="true" hidden="false" outlineLevel="0" max="8" min="8" style="12" width="12.82"/>
    <col collapsed="false" customWidth="true" hidden="false" outlineLevel="0" max="11" min="9" style="13" width="12.82"/>
    <col collapsed="false" customWidth="true" hidden="false" outlineLevel="0" max="13" min="12" style="13" width="10.82"/>
    <col collapsed="false" customWidth="true" hidden="false" outlineLevel="0" max="14" min="14" style="12" width="10.82"/>
    <col collapsed="false" customWidth="true" hidden="false" outlineLevel="0" max="15" min="15" style="13" width="14.18"/>
    <col collapsed="false" customWidth="true" hidden="false" outlineLevel="0" max="16" min="16" style="13" width="12.82"/>
    <col collapsed="false" customWidth="true" hidden="false" outlineLevel="0" max="17" min="17" style="13" width="14.18"/>
    <col collapsed="false" customWidth="true" hidden="false" outlineLevel="0" max="19" min="18" style="13" width="12.82"/>
    <col collapsed="false" customWidth="true" hidden="false" outlineLevel="0" max="21" min="20" style="13" width="10.82"/>
    <col collapsed="false" customWidth="true" hidden="false" outlineLevel="0" max="22" min="22" style="13" width="14.18"/>
    <col collapsed="false" customWidth="true" hidden="false" outlineLevel="0" max="23" min="23" style="13" width="11.27"/>
    <col collapsed="false" customWidth="true" hidden="false" outlineLevel="0" max="24" min="24" style="13" width="9.45"/>
    <col collapsed="false" customWidth="true" hidden="false" outlineLevel="0" max="25" min="25" style="13" width="6.82"/>
    <col collapsed="false" customWidth="true" hidden="false" outlineLevel="0" max="26" min="26" style="13" width="14.18"/>
    <col collapsed="false" customWidth="true" hidden="false" outlineLevel="0" max="27" min="27" style="13" width="9.45"/>
    <col collapsed="false" customWidth="true" hidden="false" outlineLevel="0" max="28" min="28" style="13" width="6.82"/>
    <col collapsed="false" customWidth="true" hidden="false" outlineLevel="0" max="29" min="29" style="13" width="7.54"/>
    <col collapsed="false" customWidth="true" hidden="false" outlineLevel="0" max="30" min="30" style="13" width="9.45"/>
    <col collapsed="false" customWidth="true" hidden="false" outlineLevel="0" max="31" min="31" style="13" width="6.82"/>
    <col collapsed="false" customWidth="true" hidden="false" outlineLevel="0" max="32" min="32" style="13" width="7.54"/>
    <col collapsed="false" customWidth="true" hidden="false" outlineLevel="0" max="33" min="33" style="13" width="9.45"/>
    <col collapsed="false" customWidth="true" hidden="false" outlineLevel="0" max="34" min="34" style="13" width="6.82"/>
    <col collapsed="false" customWidth="true" hidden="false" outlineLevel="0" max="35" min="35" style="13" width="7.54"/>
    <col collapsed="false" customWidth="true" hidden="false" outlineLevel="0" max="36" min="36" style="13" width="9.45"/>
    <col collapsed="false" customWidth="true" hidden="false" outlineLevel="0" max="37" min="37" style="13" width="6.82"/>
    <col collapsed="false" customWidth="true" hidden="false" outlineLevel="0" max="38" min="38" style="13" width="7.54"/>
    <col collapsed="false" customWidth="true" hidden="false" outlineLevel="0" max="39" min="39" style="13" width="9.45"/>
    <col collapsed="false" customWidth="true" hidden="false" outlineLevel="0" max="41" min="40" style="13" width="6.82"/>
    <col collapsed="false" customWidth="true" hidden="false" outlineLevel="0" max="42" min="42" style="13" width="9.45"/>
    <col collapsed="false" customWidth="true" hidden="false" outlineLevel="0" max="43" min="43" style="13" width="6.82"/>
    <col collapsed="false" customWidth="true" hidden="false" outlineLevel="0" max="44" min="44" style="13" width="13.18"/>
    <col collapsed="false" customWidth="true" hidden="false" outlineLevel="0" max="45" min="45" style="13" width="16.45"/>
    <col collapsed="false" customWidth="true" hidden="true" outlineLevel="0" max="46" min="46" style="11" width="11.27"/>
    <col collapsed="false" customWidth="true" hidden="true" outlineLevel="0" max="47" min="47" style="11" width="14.18"/>
    <col collapsed="false" customWidth="true" hidden="true" outlineLevel="0" max="48" min="48" style="11" width="8.54"/>
    <col collapsed="false" customWidth="true" hidden="true" outlineLevel="0" max="49" min="49" style="11" width="7.27"/>
    <col collapsed="false" customWidth="true" hidden="true" outlineLevel="0" max="51" min="50" style="11" width="8.54"/>
    <col collapsed="false" customWidth="true" hidden="true" outlineLevel="0" max="52" min="52" style="11" width="12.45"/>
    <col collapsed="false" customWidth="true" hidden="true" outlineLevel="0" max="53" min="53" style="11" width="11.27"/>
    <col collapsed="false" customWidth="true" hidden="true" outlineLevel="0" max="54" min="54" style="11" width="14.18"/>
    <col collapsed="false" customWidth="true" hidden="true" outlineLevel="0" max="55" min="55" style="11" width="10.82"/>
    <col collapsed="false" customWidth="true" hidden="true" outlineLevel="0" max="56" min="56" style="11" width="9.54"/>
    <col collapsed="false" customWidth="true" hidden="true" outlineLevel="0" max="57" min="57" style="11" width="10.82"/>
    <col collapsed="false" customWidth="true" hidden="true" outlineLevel="0" max="58" min="58" style="11" width="9.54"/>
    <col collapsed="false" customWidth="true" hidden="true" outlineLevel="0" max="59" min="59" style="11" width="12.45"/>
    <col collapsed="false" customWidth="false" hidden="true" outlineLevel="0" max="60" min="60" style="11" width="11.53"/>
  </cols>
  <sheetData>
    <row r="1" customFormat="false" ht="14.25" hidden="false" customHeight="false" outlineLevel="0" collapsed="false">
      <c r="H1" s="14" t="n">
        <v>10196680.7092753</v>
      </c>
      <c r="I1" s="15"/>
      <c r="J1" s="16"/>
      <c r="K1" s="16"/>
      <c r="L1" s="16"/>
      <c r="M1" s="17"/>
      <c r="N1" s="18"/>
      <c r="O1" s="16"/>
    </row>
    <row r="2" customFormat="false" ht="14.25" hidden="false" customHeight="false" outlineLevel="0" collapsed="false">
      <c r="H2" s="19" t="n">
        <f aca="false">O6-H1</f>
        <v>1189364.71628585</v>
      </c>
      <c r="I2" s="20"/>
      <c r="J2" s="16"/>
      <c r="K2" s="16"/>
      <c r="L2" s="16"/>
      <c r="M2" s="16"/>
      <c r="N2" s="21"/>
      <c r="O2" s="16"/>
    </row>
    <row r="3" customFormat="false" ht="17.35" hidden="false" customHeight="false" outlineLevel="0" collapsed="false">
      <c r="G3" s="14" t="s">
        <v>24</v>
      </c>
      <c r="H3" s="22"/>
      <c r="I3" s="20"/>
      <c r="J3" s="23"/>
      <c r="K3" s="23"/>
      <c r="L3" s="23"/>
      <c r="M3" s="23"/>
      <c r="N3" s="24"/>
      <c r="O3" s="16"/>
      <c r="P3" s="25"/>
      <c r="Q3" s="26"/>
      <c r="V3" s="27"/>
      <c r="X3" s="28"/>
      <c r="Y3" s="29"/>
      <c r="AU3" s="13"/>
    </row>
    <row r="4" customFormat="false" ht="18.75" hidden="false" customHeight="true" outlineLevel="0" collapsed="false">
      <c r="H4" s="30" t="s">
        <v>25</v>
      </c>
      <c r="I4" s="30"/>
      <c r="J4" s="30"/>
      <c r="K4" s="30"/>
      <c r="L4" s="30"/>
      <c r="M4" s="30"/>
      <c r="N4" s="30"/>
      <c r="O4" s="30"/>
      <c r="P4" s="31" t="s">
        <v>26</v>
      </c>
      <c r="Q4" s="31"/>
      <c r="R4" s="31"/>
      <c r="S4" s="31"/>
      <c r="T4" s="31"/>
      <c r="U4" s="31"/>
      <c r="V4" s="31"/>
      <c r="W4" s="32" t="s">
        <v>27</v>
      </c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</row>
    <row r="5" customFormat="false" ht="17.35" hidden="false" customHeight="false" outlineLevel="0" collapsed="false">
      <c r="G5" s="33" t="n">
        <v>10189128.508771</v>
      </c>
      <c r="H5" s="34" t="s">
        <v>28</v>
      </c>
      <c r="I5" s="35" t="s">
        <v>29</v>
      </c>
      <c r="J5" s="35" t="s">
        <v>3</v>
      </c>
      <c r="K5" s="35" t="s">
        <v>4</v>
      </c>
      <c r="L5" s="35" t="s">
        <v>5</v>
      </c>
      <c r="M5" s="35" t="s">
        <v>6</v>
      </c>
      <c r="N5" s="35" t="s">
        <v>7</v>
      </c>
      <c r="O5" s="36" t="s">
        <v>30</v>
      </c>
      <c r="P5" s="34" t="s">
        <v>9</v>
      </c>
      <c r="Q5" s="35" t="s">
        <v>10</v>
      </c>
      <c r="R5" s="35" t="s">
        <v>3</v>
      </c>
      <c r="S5" s="35" t="s">
        <v>4</v>
      </c>
      <c r="T5" s="35" t="s">
        <v>5</v>
      </c>
      <c r="U5" s="35" t="s">
        <v>6</v>
      </c>
      <c r="V5" s="36" t="s">
        <v>31</v>
      </c>
      <c r="W5" s="35" t="s">
        <v>9</v>
      </c>
      <c r="X5" s="35" t="s">
        <v>32</v>
      </c>
      <c r="Y5" s="35" t="s">
        <v>33</v>
      </c>
      <c r="Z5" s="35" t="s">
        <v>10</v>
      </c>
      <c r="AA5" s="35" t="s">
        <v>32</v>
      </c>
      <c r="AB5" s="35" t="s">
        <v>33</v>
      </c>
      <c r="AC5" s="35" t="s">
        <v>3</v>
      </c>
      <c r="AD5" s="35" t="s">
        <v>32</v>
      </c>
      <c r="AE5" s="35" t="s">
        <v>33</v>
      </c>
      <c r="AF5" s="35" t="s">
        <v>4</v>
      </c>
      <c r="AG5" s="35" t="s">
        <v>32</v>
      </c>
      <c r="AH5" s="35" t="s">
        <v>33</v>
      </c>
      <c r="AI5" s="35" t="s">
        <v>5</v>
      </c>
      <c r="AJ5" s="35" t="s">
        <v>32</v>
      </c>
      <c r="AK5" s="35" t="s">
        <v>33</v>
      </c>
      <c r="AL5" s="35" t="s">
        <v>6</v>
      </c>
      <c r="AM5" s="35" t="s">
        <v>32</v>
      </c>
      <c r="AN5" s="35" t="s">
        <v>33</v>
      </c>
      <c r="AO5" s="35" t="s">
        <v>7</v>
      </c>
      <c r="AP5" s="35" t="s">
        <v>32</v>
      </c>
      <c r="AQ5" s="35" t="s">
        <v>33</v>
      </c>
      <c r="AR5" s="35" t="s">
        <v>34</v>
      </c>
      <c r="AS5" s="36" t="s">
        <v>35</v>
      </c>
      <c r="AT5" s="35" t="s">
        <v>9</v>
      </c>
      <c r="AU5" s="35" t="s">
        <v>10</v>
      </c>
      <c r="AV5" s="35" t="s">
        <v>3</v>
      </c>
      <c r="AW5" s="35" t="s">
        <v>4</v>
      </c>
      <c r="AX5" s="35" t="s">
        <v>5</v>
      </c>
      <c r="AY5" s="35" t="s">
        <v>6</v>
      </c>
      <c r="AZ5" s="35" t="s">
        <v>31</v>
      </c>
      <c r="BA5" s="35" t="s">
        <v>9</v>
      </c>
      <c r="BB5" s="35" t="s">
        <v>10</v>
      </c>
      <c r="BC5" s="35" t="s">
        <v>3</v>
      </c>
      <c r="BD5" s="35" t="s">
        <v>4</v>
      </c>
      <c r="BE5" s="35" t="s">
        <v>5</v>
      </c>
      <c r="BF5" s="35" t="s">
        <v>6</v>
      </c>
      <c r="BG5" s="35" t="s">
        <v>31</v>
      </c>
      <c r="BI5" s="37"/>
      <c r="BJ5" s="37"/>
    </row>
    <row r="6" customFormat="false" ht="17.35" hidden="false" customHeight="false" outlineLevel="0" collapsed="false">
      <c r="G6" s="14" t="n">
        <v>9597622</v>
      </c>
      <c r="H6" s="38" t="n">
        <f aca="false">SUM(H11:H41)</f>
        <v>4602503.21110201</v>
      </c>
      <c r="I6" s="38" t="n">
        <f aca="false">SUM(I11:I41)</f>
        <v>2797422.31523479</v>
      </c>
      <c r="J6" s="38" t="n">
        <f aca="false">SUM(J11:J41)</f>
        <v>1059952.02528036</v>
      </c>
      <c r="K6" s="38" t="n">
        <f aca="false">SUM(K11:K41)</f>
        <v>1219588.29480096</v>
      </c>
      <c r="L6" s="38" t="n">
        <f aca="false">SUM(L11:L41)</f>
        <v>589255.960711941</v>
      </c>
      <c r="M6" s="38" t="n">
        <f aca="false">SUM(M11:M41)</f>
        <v>601128.926864996</v>
      </c>
      <c r="N6" s="38" t="n">
        <f aca="false">SUM(N11:N41)</f>
        <v>516194.691566096</v>
      </c>
      <c r="O6" s="39" t="n">
        <f aca="false">H6+I6+J6+K6+L6+M6+N6</f>
        <v>11386045.4255612</v>
      </c>
      <c r="P6" s="38" t="n">
        <f aca="false">SUM(P11:P41)</f>
        <v>4810000</v>
      </c>
      <c r="Q6" s="38" t="n">
        <f aca="false">SUM(Q11:Q41)</f>
        <v>3040000</v>
      </c>
      <c r="R6" s="38" t="n">
        <f aca="false">SUM(R11:R41)</f>
        <v>1195000</v>
      </c>
      <c r="S6" s="38" t="n">
        <f aca="false">SUM(S11:S41)</f>
        <v>1299000</v>
      </c>
      <c r="T6" s="38" t="n">
        <f aca="false">SUM(T11:T41)</f>
        <v>709000</v>
      </c>
      <c r="U6" s="38" t="n">
        <f aca="false">SUM(U11:U41)</f>
        <v>661000</v>
      </c>
      <c r="V6" s="39" t="n">
        <f aca="false">P6+Q6+R6+S6+T6+U6</f>
        <v>11714000</v>
      </c>
      <c r="W6" s="40" t="e">
        <f aca="false">SUM(+#REF!+#REF!+#REF!+#REF!+#REF!)</f>
        <v>#REF!</v>
      </c>
      <c r="X6" s="41" t="n">
        <f aca="false">IFERROR(COUNTIF(X11:X35,"C/B")/(COUNTIF(X11:X22,"C/B")+COUNTIF(X11:X22,"S/B")),0)</f>
        <v>0</v>
      </c>
      <c r="Y6" s="42" t="e">
        <f aca="false">W6-H6</f>
        <v>#REF!</v>
      </c>
      <c r="Z6" s="40" t="e">
        <f aca="false">SUM(+#REF!+#REF!+#REF!+#REF!+#REF!)</f>
        <v>#REF!</v>
      </c>
      <c r="AA6" s="41" t="n">
        <f aca="false">IFERROR(COUNTIF(AA16:AA40,"C/B")/(COUNTIF(AA11:AA22,"C/B")+COUNTIF(AA11:AA22,"S/B")),0)</f>
        <v>0</v>
      </c>
      <c r="AB6" s="42" t="e">
        <f aca="false">Z6-I6</f>
        <v>#REF!</v>
      </c>
      <c r="AC6" s="40" t="e">
        <f aca="false">SUM(#REF!+#REF!+#REF!+#REF!+#REF!)</f>
        <v>#REF!</v>
      </c>
      <c r="AD6" s="41" t="n">
        <f aca="false">IFERROR(COUNTIF(AD11:AD35,"C/B")/(COUNTIF(AD11:AD22,"C/B")+COUNTIF(AD11:AD22,"S/B")),0)</f>
        <v>0</v>
      </c>
      <c r="AE6" s="42" t="e">
        <f aca="false">AC6-J6</f>
        <v>#REF!</v>
      </c>
      <c r="AF6" s="40" t="e">
        <f aca="false">SUM(#REF!+#REF!+#REF!+#REF!+#REF!)</f>
        <v>#REF!</v>
      </c>
      <c r="AG6" s="41" t="n">
        <f aca="false">IFERROR(COUNTIF(AG11:AG35,"C/B")/(COUNTIF(AG11:AG22,"C/B")+COUNTIF(AG11:AG22,"S/B")),0)</f>
        <v>0</v>
      </c>
      <c r="AH6" s="42" t="e">
        <f aca="false">AF6-K6</f>
        <v>#REF!</v>
      </c>
      <c r="AI6" s="40" t="e">
        <f aca="false">SUM(#REF!+#REF!+#REF!+#REF!+#REF!)</f>
        <v>#REF!</v>
      </c>
      <c r="AJ6" s="41" t="n">
        <f aca="false">IFERROR(COUNTIF(AJ11:AJ35,"C/B")/(COUNTIF(AJ11:AJ22,"C/B")+COUNTIF(AJ11:AJ22,"S/B")),0)</f>
        <v>0</v>
      </c>
      <c r="AK6" s="42" t="e">
        <f aca="false">AI6-L6</f>
        <v>#REF!</v>
      </c>
      <c r="AL6" s="40" t="e">
        <f aca="false">SUM(#REF!+#REF!+#REF!+#REF!+#REF!)</f>
        <v>#REF!</v>
      </c>
      <c r="AM6" s="41" t="n">
        <f aca="false">IFERROR(COUNTIF(AM11:AM35,"C/B")/(COUNTIF(AM11:AM22,"C/B")+COUNTIF(AM11:AM22,"S/B")),0)</f>
        <v>0</v>
      </c>
      <c r="AN6" s="42" t="e">
        <f aca="false">AL6-M6</f>
        <v>#REF!</v>
      </c>
      <c r="AO6" s="40" t="e">
        <f aca="false">SUM(#REF!+#REF!+#REF!+#REF!+#REF!)</f>
        <v>#REF!</v>
      </c>
      <c r="AP6" s="41" t="n">
        <f aca="false">IFERROR(COUNTIF(AP11:AP35,"C/B")/(COUNTIF(AP11:AP22,"C/B")+COUNTIF(AP11:AP22,"S/B")),0)</f>
        <v>0</v>
      </c>
      <c r="AQ6" s="42" t="e">
        <f aca="false">AO6-N6</f>
        <v>#REF!</v>
      </c>
      <c r="AR6" s="43" t="e">
        <f aca="false">W6+Z6+AC6+AF6+AI6+AL6+AO6</f>
        <v>#REF!</v>
      </c>
      <c r="AS6" s="44"/>
      <c r="AT6" s="45" t="n">
        <f aca="false">IFERROR(P6/H6-1,0)</f>
        <v>0.0450834642325666</v>
      </c>
      <c r="AU6" s="45" t="n">
        <f aca="false">IFERROR(Q6/I6-1,0)</f>
        <v>0.0867147171323153</v>
      </c>
      <c r="AV6" s="45" t="n">
        <f aca="false">IFERROR(R6/J6-1,0)</f>
        <v>0.127409516184394</v>
      </c>
      <c r="AW6" s="45" t="n">
        <f aca="false">IFERROR(S6/K6-1,0)</f>
        <v>0.0651135350655354</v>
      </c>
      <c r="AX6" s="45" t="n">
        <f aca="false">IFERROR(T6/L6-1,0)</f>
        <v>0.203212266437464</v>
      </c>
      <c r="AY6" s="45" t="n">
        <f aca="false">IFERROR(U6/M6-1,0)</f>
        <v>0.0995977243138888</v>
      </c>
      <c r="AZ6" s="45" t="n">
        <f aca="false">IFERROR(V6/O6-1,0)</f>
        <v>0.0288032027083438</v>
      </c>
      <c r="BA6" s="46" t="n">
        <f aca="false">P6-H6</f>
        <v>207496.78889799</v>
      </c>
      <c r="BB6" s="46" t="n">
        <f aca="false">Q6-I6</f>
        <v>242577.684765211</v>
      </c>
      <c r="BC6" s="46" t="n">
        <f aca="false">R6-J6</f>
        <v>135047.97471964</v>
      </c>
      <c r="BD6" s="46" t="n">
        <f aca="false">S6-K6</f>
        <v>79411.7051990388</v>
      </c>
      <c r="BE6" s="46" t="n">
        <f aca="false">T6-L6</f>
        <v>119744.039288059</v>
      </c>
      <c r="BF6" s="46" t="n">
        <f aca="false">U6-M6</f>
        <v>59871.0731350037</v>
      </c>
      <c r="BG6" s="46" t="n">
        <f aca="false">V6-O6</f>
        <v>327954.574438848</v>
      </c>
      <c r="BJ6" s="37"/>
    </row>
    <row r="7" customFormat="false" ht="17.35" hidden="false" customHeight="false" outlineLevel="0" collapsed="false">
      <c r="G7" s="14"/>
      <c r="H7" s="22" t="s">
        <v>36</v>
      </c>
      <c r="I7" s="20"/>
      <c r="J7" s="47" t="n">
        <v>0.1002</v>
      </c>
      <c r="K7" s="47" t="n">
        <v>0.1056</v>
      </c>
      <c r="L7" s="47" t="n">
        <v>0.0658</v>
      </c>
      <c r="M7" s="48"/>
      <c r="N7" s="49"/>
      <c r="O7" s="47"/>
      <c r="P7" s="48"/>
      <c r="Q7" s="48"/>
      <c r="R7" s="48"/>
      <c r="S7" s="48"/>
      <c r="T7" s="48"/>
      <c r="U7" s="48"/>
      <c r="V7" s="48"/>
      <c r="W7" s="48"/>
      <c r="X7" s="50"/>
      <c r="Y7" s="48"/>
      <c r="Z7" s="48"/>
      <c r="AA7" s="50"/>
      <c r="AB7" s="48"/>
      <c r="AC7" s="48"/>
      <c r="AD7" s="50"/>
      <c r="AE7" s="48"/>
      <c r="AF7" s="48"/>
      <c r="AG7" s="50"/>
      <c r="AH7" s="48"/>
      <c r="AI7" s="48"/>
      <c r="AJ7" s="50"/>
      <c r="AK7" s="48"/>
      <c r="AL7" s="48"/>
      <c r="AM7" s="50"/>
      <c r="AN7" s="48"/>
      <c r="AO7" s="48"/>
      <c r="AP7" s="48"/>
      <c r="AQ7" s="48"/>
      <c r="AR7" s="48"/>
      <c r="AS7" s="51"/>
      <c r="AT7" s="52"/>
      <c r="AU7" s="52"/>
      <c r="AV7" s="52"/>
      <c r="AW7" s="52"/>
      <c r="AX7" s="52"/>
      <c r="AY7" s="52"/>
      <c r="AZ7" s="52"/>
      <c r="BA7" s="53"/>
      <c r="BB7" s="53"/>
      <c r="BC7" s="53"/>
      <c r="BD7" s="53"/>
      <c r="BE7" s="53"/>
      <c r="BF7" s="53"/>
      <c r="BG7" s="53"/>
      <c r="BJ7" s="37"/>
    </row>
    <row r="8" s="54" customFormat="true" ht="14.25" hidden="false" customHeight="false" outlineLevel="0" collapsed="false">
      <c r="G8" s="55"/>
      <c r="H8" s="56" t="s">
        <v>25</v>
      </c>
      <c r="I8" s="56"/>
      <c r="J8" s="56"/>
      <c r="K8" s="56"/>
      <c r="L8" s="56"/>
      <c r="M8" s="56"/>
      <c r="N8" s="56"/>
      <c r="O8" s="56"/>
      <c r="P8" s="57" t="s">
        <v>37</v>
      </c>
      <c r="Q8" s="57"/>
      <c r="R8" s="57"/>
      <c r="S8" s="57"/>
      <c r="T8" s="57"/>
      <c r="U8" s="57"/>
      <c r="V8" s="57"/>
      <c r="W8" s="58" t="s">
        <v>27</v>
      </c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7" t="s">
        <v>38</v>
      </c>
      <c r="AU8" s="57"/>
      <c r="AV8" s="57"/>
      <c r="AW8" s="57"/>
      <c r="AX8" s="57"/>
      <c r="AY8" s="57"/>
      <c r="AZ8" s="57"/>
      <c r="BA8" s="59" t="s">
        <v>33</v>
      </c>
      <c r="BB8" s="59"/>
      <c r="BC8" s="59"/>
      <c r="BD8" s="59"/>
      <c r="BE8" s="59"/>
      <c r="BF8" s="59"/>
      <c r="BG8" s="59"/>
    </row>
    <row r="9" s="54" customFormat="true" ht="14.25" hidden="false" customHeight="false" outlineLevel="0" collapsed="false">
      <c r="G9" s="55" t="s">
        <v>39</v>
      </c>
      <c r="H9" s="60" t="n">
        <v>49</v>
      </c>
      <c r="I9" s="61" t="n">
        <v>49</v>
      </c>
      <c r="J9" s="61" t="n">
        <v>25</v>
      </c>
      <c r="K9" s="61" t="n">
        <v>47</v>
      </c>
      <c r="L9" s="61" t="n">
        <v>45</v>
      </c>
      <c r="M9" s="61" t="n">
        <v>44</v>
      </c>
      <c r="N9" s="61"/>
      <c r="O9" s="62"/>
      <c r="P9" s="63" t="n">
        <v>49</v>
      </c>
      <c r="Q9" s="63" t="n">
        <v>49</v>
      </c>
      <c r="R9" s="63" t="n">
        <v>25</v>
      </c>
      <c r="S9" s="63" t="n">
        <v>47</v>
      </c>
      <c r="T9" s="63" t="n">
        <v>45</v>
      </c>
      <c r="U9" s="63" t="n">
        <v>44</v>
      </c>
      <c r="V9" s="64"/>
      <c r="W9" s="65" t="s">
        <v>32</v>
      </c>
      <c r="X9" s="66" t="n">
        <f aca="false">IFERROR(COUNTIF(X11:X22,"C/B")/(COUNTIF(X11:X22,"C/B")+COUNTIF(X11:X22,"S/B")),0)</f>
        <v>0</v>
      </c>
      <c r="Y9" s="65"/>
      <c r="Z9" s="65" t="s">
        <v>32</v>
      </c>
      <c r="AA9" s="66" t="n">
        <f aca="false">IFERROR(COUNTIF(AA11:AA22,"C/B")/(COUNTIF(AA11:AA22,"C/B")+COUNTIF(AA11:AA22,"S/B")),0)</f>
        <v>0</v>
      </c>
      <c r="AB9" s="65"/>
      <c r="AC9" s="65" t="s">
        <v>32</v>
      </c>
      <c r="AD9" s="66" t="n">
        <f aca="false">IFERROR(COUNTIF(AD11:AD22,"C/B")/(COUNTIF(AD11:AD22,"C/B")+COUNTIF(AD11:AD22,"S/B")),0)</f>
        <v>0</v>
      </c>
      <c r="AE9" s="65"/>
      <c r="AF9" s="65" t="s">
        <v>32</v>
      </c>
      <c r="AG9" s="66" t="n">
        <f aca="false">IFERROR(COUNTIF(AG11:AG22,"C/B")/(COUNTIF(AG11:AG22,"C/B")+COUNTIF(AG11:AG22,"S/B")),0)</f>
        <v>0</v>
      </c>
      <c r="AH9" s="65"/>
      <c r="AI9" s="65" t="s">
        <v>32</v>
      </c>
      <c r="AJ9" s="66" t="n">
        <f aca="false">IFERROR(COUNTIF(AJ11:AJ22,"C/B")/(COUNTIF(AJ11:AJ22,"C/B")+COUNTIF(AJ11:AJ22,"S/B")),0)</f>
        <v>0</v>
      </c>
      <c r="AK9" s="65"/>
      <c r="AL9" s="65" t="s">
        <v>32</v>
      </c>
      <c r="AM9" s="66" t="n">
        <f aca="false">IFERROR(COUNTIF(AM11:AM22,"C/B")/(COUNTIF(AM11:AM22,"C/B")+COUNTIF(AM11:AM22,"S/B")),0)</f>
        <v>0</v>
      </c>
      <c r="AN9" s="65"/>
      <c r="AO9" s="65"/>
      <c r="AP9" s="65"/>
      <c r="AQ9" s="65"/>
      <c r="AR9" s="65"/>
      <c r="AS9" s="67"/>
      <c r="AT9" s="63"/>
      <c r="AU9" s="63"/>
      <c r="AV9" s="63"/>
      <c r="AW9" s="63"/>
      <c r="AX9" s="63"/>
      <c r="AY9" s="63"/>
      <c r="AZ9" s="64"/>
      <c r="BA9" s="68"/>
      <c r="BB9" s="63"/>
      <c r="BC9" s="63"/>
      <c r="BD9" s="63"/>
      <c r="BE9" s="63"/>
      <c r="BF9" s="63"/>
      <c r="BG9" s="64"/>
    </row>
    <row r="10" customFormat="false" ht="14.25" hidden="false" customHeight="false" outlineLevel="0" collapsed="false">
      <c r="A10" s="69" t="s">
        <v>1</v>
      </c>
      <c r="B10" s="70" t="s">
        <v>2</v>
      </c>
      <c r="C10" s="70" t="s">
        <v>3</v>
      </c>
      <c r="D10" s="70" t="s">
        <v>4</v>
      </c>
      <c r="E10" s="70" t="s">
        <v>5</v>
      </c>
      <c r="F10" s="70" t="s">
        <v>6</v>
      </c>
      <c r="G10" s="71" t="n">
        <v>45962</v>
      </c>
      <c r="H10" s="72" t="s">
        <v>1</v>
      </c>
      <c r="I10" s="73" t="s">
        <v>2</v>
      </c>
      <c r="J10" s="73" t="s">
        <v>3</v>
      </c>
      <c r="K10" s="73" t="s">
        <v>4</v>
      </c>
      <c r="L10" s="73" t="s">
        <v>5</v>
      </c>
      <c r="M10" s="73" t="s">
        <v>6</v>
      </c>
      <c r="N10" s="73" t="s">
        <v>7</v>
      </c>
      <c r="O10" s="74" t="s">
        <v>8</v>
      </c>
      <c r="P10" s="73" t="s">
        <v>9</v>
      </c>
      <c r="Q10" s="73" t="s">
        <v>10</v>
      </c>
      <c r="R10" s="73" t="s">
        <v>3</v>
      </c>
      <c r="S10" s="73" t="s">
        <v>4</v>
      </c>
      <c r="T10" s="73" t="s">
        <v>5</v>
      </c>
      <c r="U10" s="73" t="s">
        <v>6</v>
      </c>
      <c r="V10" s="74" t="s">
        <v>8</v>
      </c>
      <c r="W10" s="70" t="s">
        <v>9</v>
      </c>
      <c r="X10" s="70" t="s">
        <v>40</v>
      </c>
      <c r="Y10" s="70" t="s">
        <v>33</v>
      </c>
      <c r="Z10" s="70" t="s">
        <v>10</v>
      </c>
      <c r="AA10" s="70" t="s">
        <v>40</v>
      </c>
      <c r="AB10" s="70" t="s">
        <v>33</v>
      </c>
      <c r="AC10" s="70" t="s">
        <v>3</v>
      </c>
      <c r="AD10" s="70" t="s">
        <v>40</v>
      </c>
      <c r="AE10" s="70" t="s">
        <v>33</v>
      </c>
      <c r="AF10" s="70" t="s">
        <v>4</v>
      </c>
      <c r="AG10" s="70" t="s">
        <v>40</v>
      </c>
      <c r="AH10" s="70" t="s">
        <v>33</v>
      </c>
      <c r="AI10" s="70" t="s">
        <v>5</v>
      </c>
      <c r="AJ10" s="70" t="s">
        <v>40</v>
      </c>
      <c r="AK10" s="70" t="s">
        <v>33</v>
      </c>
      <c r="AL10" s="70" t="s">
        <v>6</v>
      </c>
      <c r="AM10" s="70" t="s">
        <v>40</v>
      </c>
      <c r="AN10" s="70" t="s">
        <v>33</v>
      </c>
      <c r="AO10" s="70" t="s">
        <v>7</v>
      </c>
      <c r="AP10" s="70" t="s">
        <v>40</v>
      </c>
      <c r="AQ10" s="70" t="s">
        <v>33</v>
      </c>
      <c r="AR10" s="70" t="s">
        <v>8</v>
      </c>
      <c r="AS10" s="75" t="s">
        <v>33</v>
      </c>
      <c r="AT10" s="70" t="s">
        <v>9</v>
      </c>
      <c r="AU10" s="70" t="s">
        <v>10</v>
      </c>
      <c r="AV10" s="70" t="s">
        <v>3</v>
      </c>
      <c r="AW10" s="70" t="s">
        <v>4</v>
      </c>
      <c r="AX10" s="70" t="s">
        <v>5</v>
      </c>
      <c r="AY10" s="70" t="s">
        <v>6</v>
      </c>
      <c r="AZ10" s="75" t="s">
        <v>8</v>
      </c>
      <c r="BA10" s="69" t="s">
        <v>9</v>
      </c>
      <c r="BB10" s="70" t="s">
        <v>10</v>
      </c>
      <c r="BC10" s="70" t="s">
        <v>3</v>
      </c>
      <c r="BD10" s="70" t="s">
        <v>4</v>
      </c>
      <c r="BE10" s="70" t="s">
        <v>5</v>
      </c>
      <c r="BF10" s="70" t="s">
        <v>6</v>
      </c>
      <c r="BG10" s="75" t="s">
        <v>8</v>
      </c>
    </row>
    <row r="11" customFormat="false" ht="14.25" hidden="false" customHeight="false" outlineLevel="0" collapsed="false">
      <c r="A11" s="76" t="str">
        <f aca="false">$H$9&amp;$H$10&amp;$G11</f>
        <v>49DIA45992</v>
      </c>
      <c r="B11" s="76" t="str">
        <f aca="false">$I$9&amp;$I$10&amp;$G11</f>
        <v>49NOITE45992</v>
      </c>
      <c r="C11" s="76" t="str">
        <f aca="false">$J$9&amp;$J$10&amp;$G11</f>
        <v>25ARA45992</v>
      </c>
      <c r="D11" s="76" t="str">
        <f aca="false">$K$9&amp;$K$10&amp;$G11</f>
        <v>47CÇP45992</v>
      </c>
      <c r="E11" s="76" t="str">
        <f aca="false">$L$9&amp;$L$10&amp;$G11</f>
        <v>45PA45992</v>
      </c>
      <c r="F11" s="76" t="str">
        <f aca="false">$M$9&amp;$M$10&amp;$G11</f>
        <v>44DC45992</v>
      </c>
      <c r="G11" s="77" t="n">
        <v>45992</v>
      </c>
      <c r="H11" s="78" t="n">
        <v>167164.913450245</v>
      </c>
      <c r="I11" s="79" t="n">
        <v>155313.657952247</v>
      </c>
      <c r="J11" s="79" t="n">
        <v>25771.0437415737</v>
      </c>
      <c r="K11" s="79" t="n">
        <v>47996.4337368659</v>
      </c>
      <c r="L11" s="79" t="n">
        <v>19176.1266765639</v>
      </c>
      <c r="M11" s="79" t="n">
        <v>22296.9091079671</v>
      </c>
      <c r="N11" s="79" t="n">
        <v>33952.694967</v>
      </c>
      <c r="O11" s="79" t="n">
        <f aca="false">SUM(H11+I11+J11+K11+L11+M11+N11)</f>
        <v>471671.779632462</v>
      </c>
      <c r="P11" s="78" t="n">
        <v>180000</v>
      </c>
      <c r="Q11" s="79" t="n">
        <v>160000</v>
      </c>
      <c r="R11" s="79" t="n">
        <v>38000</v>
      </c>
      <c r="S11" s="79" t="n">
        <v>48000</v>
      </c>
      <c r="T11" s="79" t="n">
        <v>24000</v>
      </c>
      <c r="U11" s="79" t="n">
        <v>25000</v>
      </c>
      <c r="V11" s="80" t="n">
        <f aca="false">SUM(P11+Q11+R11+S11+T11+U11)</f>
        <v>475000</v>
      </c>
      <c r="Z11" s="81"/>
      <c r="AS11" s="82"/>
      <c r="AT11" s="29" t="n">
        <f aca="false">IFERROR(P11/#REF!-1,0)</f>
        <v>0</v>
      </c>
      <c r="AU11" s="29" t="n">
        <f aca="false">IFERROR(Q11/I11-1,0)</f>
        <v>0.0301734059292726</v>
      </c>
      <c r="AV11" s="29" t="n">
        <f aca="false">IFERROR(R11/J11-1,0)</f>
        <v>0.474523126849483</v>
      </c>
      <c r="AW11" s="29" t="n">
        <f aca="false">IFERROR(S11/K11-1,0)</f>
        <v>7.43026691039095E-005</v>
      </c>
      <c r="AX11" s="29" t="n">
        <f aca="false">IFERROR(T11/L11-1,0)</f>
        <v>0.251556187795296</v>
      </c>
      <c r="AY11" s="29" t="n">
        <f aca="false">IFERROR(U11/M11-1,0)</f>
        <v>0.121231641522325</v>
      </c>
      <c r="AZ11" s="83" t="n">
        <f aca="false">IFERROR(V11/O11-1,0)</f>
        <v>0.00705622110810111</v>
      </c>
      <c r="BA11" s="84" t="e">
        <f aca="false">P11-#REF!</f>
        <v>#REF!</v>
      </c>
      <c r="BB11" s="13" t="n">
        <f aca="false">Q11-I11</f>
        <v>4686.34204775334</v>
      </c>
      <c r="BC11" s="13" t="n">
        <f aca="false">R11-J11</f>
        <v>12228.9562584263</v>
      </c>
      <c r="BD11" s="13" t="n">
        <f aca="false">S11-K11</f>
        <v>3.56626313411834</v>
      </c>
      <c r="BE11" s="13" t="n">
        <f aca="false">T11-L11</f>
        <v>4823.8733234361</v>
      </c>
      <c r="BF11" s="13" t="n">
        <f aca="false">U11-M11</f>
        <v>2703.09089203293</v>
      </c>
      <c r="BG11" s="82" t="n">
        <f aca="false">V11-O11</f>
        <v>3328.22036753822</v>
      </c>
    </row>
    <row r="12" customFormat="false" ht="14.25" hidden="false" customHeight="false" outlineLevel="0" collapsed="false">
      <c r="A12" s="76" t="str">
        <f aca="false">$H$9&amp;$H$10&amp;$G12</f>
        <v>49DIA45993</v>
      </c>
      <c r="B12" s="76" t="str">
        <f aca="false">$I$9&amp;$I$10&amp;$G12</f>
        <v>49NOITE45993</v>
      </c>
      <c r="C12" s="76" t="str">
        <f aca="false">$J$9&amp;$J$10&amp;$G12</f>
        <v>25ARA45993</v>
      </c>
      <c r="D12" s="76" t="str">
        <f aca="false">$K$9&amp;$K$10&amp;$G12</f>
        <v>47CÇP45993</v>
      </c>
      <c r="E12" s="76" t="str">
        <f aca="false">$L$9&amp;$L$10&amp;$G12</f>
        <v>45PA45993</v>
      </c>
      <c r="F12" s="76" t="str">
        <f aca="false">$M$9&amp;$M$10&amp;$G12</f>
        <v>44DC45993</v>
      </c>
      <c r="G12" s="77" t="n">
        <v>45993</v>
      </c>
      <c r="H12" s="85" t="n">
        <v>215299.980781412</v>
      </c>
      <c r="I12" s="86" t="n">
        <v>165553.948259985</v>
      </c>
      <c r="J12" s="86" t="n">
        <v>51957.5756213437</v>
      </c>
      <c r="K12" s="86" t="n">
        <v>55995.8393596769</v>
      </c>
      <c r="L12" s="86" t="n">
        <v>23970.1583457049</v>
      </c>
      <c r="M12" s="86" t="n">
        <v>24720.9264771652</v>
      </c>
      <c r="N12" s="86" t="n">
        <v>14344.418763</v>
      </c>
      <c r="O12" s="86" t="n">
        <f aca="false">SUM(H12+I12+J12+K12+L12+M12+N12)</f>
        <v>551842.847608287</v>
      </c>
      <c r="P12" s="85" t="n">
        <v>220000</v>
      </c>
      <c r="Q12" s="86" t="n">
        <v>170000</v>
      </c>
      <c r="R12" s="86" t="n">
        <v>60000</v>
      </c>
      <c r="S12" s="86" t="n">
        <v>60000</v>
      </c>
      <c r="T12" s="86" t="n">
        <v>25000</v>
      </c>
      <c r="U12" s="86" t="n">
        <v>25000</v>
      </c>
      <c r="V12" s="87" t="n">
        <f aca="false">SUM(P12+Q12+R12+S12+T12+U12)</f>
        <v>560000</v>
      </c>
      <c r="AS12" s="82"/>
      <c r="AT12" s="29" t="n">
        <f aca="false">IFERROR(P12/H12-1,0)</f>
        <v>0.0218300958575572</v>
      </c>
      <c r="AU12" s="29" t="n">
        <f aca="false">IFERROR(Q12/I12-1,0)</f>
        <v>0.0268556068081987</v>
      </c>
      <c r="AV12" s="29" t="n">
        <f aca="false">IFERROR(R12/J12-1,0)</f>
        <v>0.154788291841556</v>
      </c>
      <c r="AW12" s="29" t="n">
        <f aca="false">IFERROR(S12/K12-1,0)</f>
        <v>0.0715081814311827</v>
      </c>
      <c r="AX12" s="29" t="n">
        <f aca="false">IFERROR(T12/L12-1,0)</f>
        <v>0.0429634898294133</v>
      </c>
      <c r="AY12" s="29" t="n">
        <f aca="false">IFERROR(U12/M12-1,0)</f>
        <v>0.0112889588945053</v>
      </c>
      <c r="AZ12" s="83" t="n">
        <f aca="false">IFERROR(V12/O12-1,0)</f>
        <v>0.0147816582693172</v>
      </c>
      <c r="BA12" s="84" t="n">
        <f aca="false">P12-H12</f>
        <v>4700.01921858845</v>
      </c>
      <c r="BB12" s="13" t="n">
        <f aca="false">Q12-I12</f>
        <v>4446.05174001501</v>
      </c>
      <c r="BC12" s="13" t="n">
        <f aca="false">R12-J12</f>
        <v>8042.42437865626</v>
      </c>
      <c r="BD12" s="13" t="n">
        <f aca="false">S12-K12</f>
        <v>4004.16064032313</v>
      </c>
      <c r="BE12" s="13" t="n">
        <f aca="false">T12-L12</f>
        <v>1029.84165429512</v>
      </c>
      <c r="BF12" s="13" t="n">
        <f aca="false">U12-M12</f>
        <v>279.073522834806</v>
      </c>
      <c r="BG12" s="82" t="n">
        <f aca="false">V12-O12</f>
        <v>8157.15239171265</v>
      </c>
    </row>
    <row r="13" customFormat="false" ht="14.25" hidden="false" customHeight="false" outlineLevel="0" collapsed="false">
      <c r="A13" s="76" t="str">
        <f aca="false">$H$9&amp;$H$10&amp;$G13</f>
        <v>49DIA45994</v>
      </c>
      <c r="B13" s="76" t="str">
        <f aca="false">$I$9&amp;$I$10&amp;$G13</f>
        <v>49NOITE45994</v>
      </c>
      <c r="C13" s="76" t="str">
        <f aca="false">$J$9&amp;$J$10&amp;$G13</f>
        <v>25ARA45994</v>
      </c>
      <c r="D13" s="76" t="str">
        <f aca="false">$K$9&amp;$K$10&amp;$G13</f>
        <v>47CÇP45994</v>
      </c>
      <c r="E13" s="76" t="str">
        <f aca="false">$L$9&amp;$L$10&amp;$G13</f>
        <v>45PA45994</v>
      </c>
      <c r="F13" s="76" t="str">
        <f aca="false">$M$9&amp;$M$10&amp;$G13</f>
        <v>44DC45994</v>
      </c>
      <c r="G13" s="77" t="n">
        <v>45994</v>
      </c>
      <c r="H13" s="85" t="n">
        <v>215299.980781412</v>
      </c>
      <c r="I13" s="86" t="n">
        <v>150120.523164701</v>
      </c>
      <c r="J13" s="86" t="n">
        <v>59059.0910399979</v>
      </c>
      <c r="K13" s="86" t="n">
        <v>58126.6810324531</v>
      </c>
      <c r="L13" s="86" t="n">
        <v>33558.2216839868</v>
      </c>
      <c r="M13" s="86" t="n">
        <v>46461.3988803295</v>
      </c>
      <c r="N13" s="86" t="n">
        <v>17859.551382</v>
      </c>
      <c r="O13" s="86" t="n">
        <f aca="false">SUM(H13+I13+J13+K13+L13+M13+N13)</f>
        <v>580485.44796488</v>
      </c>
      <c r="P13" s="85" t="n">
        <v>220000</v>
      </c>
      <c r="Q13" s="86" t="n">
        <v>170000</v>
      </c>
      <c r="R13" s="86" t="n">
        <v>60000</v>
      </c>
      <c r="S13" s="86" t="n">
        <v>60000</v>
      </c>
      <c r="T13" s="86" t="n">
        <v>38000</v>
      </c>
      <c r="U13" s="86" t="n">
        <v>50000</v>
      </c>
      <c r="V13" s="87" t="n">
        <f aca="false">SUM(P13+Q13+R13+S13+T13+U13)</f>
        <v>598000</v>
      </c>
      <c r="AS13" s="82"/>
      <c r="AT13" s="29" t="n">
        <f aca="false">IFERROR(P13/H13-1,0)</f>
        <v>0.0218300958575572</v>
      </c>
      <c r="AU13" s="29" t="n">
        <f aca="false">IFERROR(Q13/I13-1,0)</f>
        <v>0.132423444950887</v>
      </c>
      <c r="AV13" s="29" t="n">
        <f aca="false">IFERROR(R13/J13-1,0)</f>
        <v>0.0159316532549565</v>
      </c>
      <c r="AW13" s="29" t="n">
        <f aca="false">IFERROR(S13/K13-1,0)</f>
        <v>0.0322282114559569</v>
      </c>
      <c r="AX13" s="29" t="n">
        <f aca="false">IFERROR(T13/L13-1,0)</f>
        <v>0.13236036038622</v>
      </c>
      <c r="AY13" s="29" t="n">
        <f aca="false">IFERROR(#REF!/M13-1,0)</f>
        <v>0</v>
      </c>
      <c r="AZ13" s="83" t="n">
        <f aca="false">IFERROR(V13/O13-1,0)</f>
        <v>0.0301722499616905</v>
      </c>
      <c r="BA13" s="84" t="n">
        <f aca="false">P13-H13</f>
        <v>4700.01921858845</v>
      </c>
      <c r="BB13" s="13" t="n">
        <f aca="false">Q13-I13</f>
        <v>19879.4768352991</v>
      </c>
      <c r="BC13" s="13" t="n">
        <f aca="false">R13-J13</f>
        <v>940.908960002147</v>
      </c>
      <c r="BD13" s="13" t="n">
        <f aca="false">S13-K13</f>
        <v>1873.31896754686</v>
      </c>
      <c r="BE13" s="13" t="n">
        <f aca="false">T13-L13</f>
        <v>4441.77831601317</v>
      </c>
      <c r="BF13" s="13" t="e">
        <f aca="false">#REF!-M13</f>
        <v>#REF!</v>
      </c>
      <c r="BG13" s="82" t="n">
        <f aca="false">V13-O13</f>
        <v>17514.5520351202</v>
      </c>
    </row>
    <row r="14" customFormat="false" ht="14.25" hidden="false" customHeight="false" outlineLevel="0" collapsed="false">
      <c r="A14" s="76" t="str">
        <f aca="false">$H$9&amp;$H$10&amp;$G14</f>
        <v>49DIA45995</v>
      </c>
      <c r="B14" s="76" t="str">
        <f aca="false">$I$9&amp;$I$10&amp;$G14</f>
        <v>49NOITE45995</v>
      </c>
      <c r="C14" s="76" t="str">
        <f aca="false">$J$9&amp;$J$10&amp;$G14</f>
        <v>25ARA45995</v>
      </c>
      <c r="D14" s="76" t="str">
        <f aca="false">$K$9&amp;$K$10&amp;$G14</f>
        <v>47CÇP45995</v>
      </c>
      <c r="E14" s="76" t="str">
        <f aca="false">$L$9&amp;$L$10&amp;$G14</f>
        <v>45PA45995</v>
      </c>
      <c r="F14" s="76" t="str">
        <f aca="false">$M$9&amp;$M$10&amp;$G14</f>
        <v>44DC45995</v>
      </c>
      <c r="G14" s="77" t="n">
        <v>45995</v>
      </c>
      <c r="H14" s="85" t="n">
        <v>204522.964999228</v>
      </c>
      <c r="I14" s="86" t="n">
        <v>139767.383636101</v>
      </c>
      <c r="J14" s="86" t="n">
        <v>49482.2854395416</v>
      </c>
      <c r="K14" s="86" t="n">
        <v>57995.6907653796</v>
      </c>
      <c r="L14" s="86" t="n">
        <v>28330.8095519555</v>
      </c>
      <c r="M14" s="86" t="n">
        <v>17991.4534552884</v>
      </c>
      <c r="N14" s="86" t="n">
        <v>21440.253528</v>
      </c>
      <c r="O14" s="86" t="n">
        <f aca="false">SUM(H14+I14+J14+K14+L14+M14+N14)</f>
        <v>519530.841375493</v>
      </c>
      <c r="P14" s="85" t="n">
        <v>210000</v>
      </c>
      <c r="Q14" s="86" t="n">
        <v>160000</v>
      </c>
      <c r="R14" s="86" t="n">
        <v>60000</v>
      </c>
      <c r="S14" s="86" t="n">
        <v>60000</v>
      </c>
      <c r="T14" s="86" t="n">
        <v>38000</v>
      </c>
      <c r="U14" s="86" t="n">
        <v>25000</v>
      </c>
      <c r="V14" s="87" t="n">
        <f aca="false">SUM(P14+Q14+R14+S14+T14+U14)</f>
        <v>553000</v>
      </c>
      <c r="W14" s="16"/>
      <c r="X14" s="16"/>
      <c r="Z14" s="16"/>
      <c r="AC14" s="16"/>
      <c r="AF14" s="16"/>
      <c r="AI14" s="16"/>
      <c r="AL14" s="16"/>
      <c r="AO14" s="16"/>
      <c r="AS14" s="82"/>
      <c r="AT14" s="29" t="n">
        <f aca="false">IFERROR(P14/H14-1,0)</f>
        <v>0.0267795599422935</v>
      </c>
      <c r="AU14" s="29" t="n">
        <f aca="false">IFERROR(Q14/I14-1,0)</f>
        <v>0.14475921232508</v>
      </c>
      <c r="AV14" s="29" t="n">
        <f aca="false">IFERROR(R14/J14-1,0)</f>
        <v>0.212555149121177</v>
      </c>
      <c r="AW14" s="29" t="n">
        <f aca="false">IFERROR(S14/K14-1,0)</f>
        <v>0.034559623450797</v>
      </c>
      <c r="AX14" s="29" t="n">
        <f aca="false">IFERROR(T14/L14-1,0)</f>
        <v>0.341295946037556</v>
      </c>
      <c r="AY14" s="29" t="n">
        <f aca="false">IFERROR(U13/M14-1,0)</f>
        <v>1.77909731552583</v>
      </c>
      <c r="AZ14" s="83" t="n">
        <f aca="false">IFERROR(V14/O14-1,0)</f>
        <v>0.0644218898263955</v>
      </c>
      <c r="BA14" s="84" t="n">
        <f aca="false">P14-H14</f>
        <v>5477.03500077242</v>
      </c>
      <c r="BB14" s="13" t="n">
        <f aca="false">Q14-I14</f>
        <v>20232.6163638992</v>
      </c>
      <c r="BC14" s="13" t="n">
        <f aca="false">R14-J14</f>
        <v>10517.7145604584</v>
      </c>
      <c r="BD14" s="13" t="n">
        <f aca="false">S14-K14</f>
        <v>2004.30923462038</v>
      </c>
      <c r="BE14" s="13" t="n">
        <f aca="false">T14-L14</f>
        <v>9669.19044804449</v>
      </c>
      <c r="BF14" s="13" t="n">
        <f aca="false">U13-M14</f>
        <v>32008.5465447116</v>
      </c>
      <c r="BG14" s="82" t="n">
        <f aca="false">V14-O14</f>
        <v>33469.1586245066</v>
      </c>
    </row>
    <row r="15" customFormat="false" ht="14.25" hidden="false" customHeight="false" outlineLevel="0" collapsed="false">
      <c r="A15" s="76" t="str">
        <f aca="false">$H$9&amp;$H$10&amp;$G15</f>
        <v>49DIA45996</v>
      </c>
      <c r="B15" s="76" t="str">
        <f aca="false">$I$9&amp;$I$10&amp;$G15</f>
        <v>49NOITE45996</v>
      </c>
      <c r="C15" s="76" t="str">
        <f aca="false">$J$9&amp;$J$10&amp;$G15</f>
        <v>25ARA45996</v>
      </c>
      <c r="D15" s="76" t="str">
        <f aca="false">$K$9&amp;$K$10&amp;$G15</f>
        <v>47CÇP45996</v>
      </c>
      <c r="E15" s="76" t="str">
        <f aca="false">$L$9&amp;$L$10&amp;$G15</f>
        <v>45PA45996</v>
      </c>
      <c r="F15" s="76" t="str">
        <f aca="false">$M$9&amp;$M$10&amp;$G15</f>
        <v>44DC45996</v>
      </c>
      <c r="G15" s="77" t="n">
        <v>45996</v>
      </c>
      <c r="H15" s="85" t="n">
        <v>204681.18545022</v>
      </c>
      <c r="I15" s="86" t="n">
        <v>51765.6976430003</v>
      </c>
      <c r="J15" s="86" t="n">
        <v>46302.4292875432</v>
      </c>
      <c r="K15" s="86" t="n">
        <v>57995.6907653796</v>
      </c>
      <c r="L15" s="86" t="n">
        <v>22195.4078217889</v>
      </c>
      <c r="M15" s="86" t="n">
        <v>42737.9632292262</v>
      </c>
      <c r="N15" s="86" t="n">
        <v>26606.690973</v>
      </c>
      <c r="O15" s="86" t="n">
        <f aca="false">SUM(H15+I15+J15+K15+L15+M15+N15)</f>
        <v>452285.065170159</v>
      </c>
      <c r="P15" s="85" t="n">
        <v>210000</v>
      </c>
      <c r="Q15" s="86" t="n">
        <v>100000</v>
      </c>
      <c r="R15" s="86" t="n">
        <v>50000</v>
      </c>
      <c r="S15" s="86" t="n">
        <v>60000</v>
      </c>
      <c r="T15" s="86" t="n">
        <v>25000</v>
      </c>
      <c r="U15" s="86" t="n">
        <v>50000</v>
      </c>
      <c r="V15" s="87" t="n">
        <f aca="false">SUM(P15+Q15+R15+S15+T15+U15)</f>
        <v>495000</v>
      </c>
      <c r="W15" s="16"/>
      <c r="X15" s="16"/>
      <c r="Z15" s="16"/>
      <c r="AC15" s="16"/>
      <c r="AF15" s="16"/>
      <c r="AG15" s="16"/>
      <c r="AI15" s="16"/>
      <c r="AJ15" s="16"/>
      <c r="AL15" s="16"/>
      <c r="AO15" s="16"/>
      <c r="AS15" s="82"/>
      <c r="AT15" s="29" t="n">
        <f aca="false">IFERROR(P15/H15-1,0)</f>
        <v>0.025985849838031</v>
      </c>
      <c r="AU15" s="29" t="n">
        <f aca="false">IFERROR(Q15/I15-1,0)</f>
        <v>0.931781170798572</v>
      </c>
      <c r="AV15" s="29" t="n">
        <f aca="false">IFERROR(R15/J15-1,0)</f>
        <v>0.0798569485305949</v>
      </c>
      <c r="AW15" s="29" t="n">
        <f aca="false">IFERROR(S15/K15-1,0)</f>
        <v>0.034559623450797</v>
      </c>
      <c r="AX15" s="29" t="n">
        <f aca="false">IFERROR(T15/L15-1,0)</f>
        <v>0.126359119000187</v>
      </c>
      <c r="AY15" s="29" t="n">
        <f aca="false">IFERROR(U15/M15-1,0)</f>
        <v>0.169920048174119</v>
      </c>
      <c r="AZ15" s="83" t="n">
        <f aca="false">IFERROR(V15/O15-1,0)</f>
        <v>0.0944425056656937</v>
      </c>
      <c r="BA15" s="84" t="n">
        <f aca="false">P15-H15</f>
        <v>5318.81454977958</v>
      </c>
      <c r="BB15" s="13" t="n">
        <f aca="false">Q15-I15</f>
        <v>48234.3023569997</v>
      </c>
      <c r="BC15" s="13" t="n">
        <f aca="false">R15-J15</f>
        <v>3697.57071245684</v>
      </c>
      <c r="BD15" s="13" t="n">
        <f aca="false">S15-K15</f>
        <v>2004.30923462038</v>
      </c>
      <c r="BE15" s="13" t="n">
        <f aca="false">T15-L15</f>
        <v>2804.59217821111</v>
      </c>
      <c r="BF15" s="13" t="n">
        <f aca="false">U15-M15</f>
        <v>7262.03677077384</v>
      </c>
      <c r="BG15" s="82" t="n">
        <f aca="false">V15-O15</f>
        <v>42714.9348298414</v>
      </c>
    </row>
    <row r="16" customFormat="false" ht="14.25" hidden="false" customHeight="false" outlineLevel="0" collapsed="false">
      <c r="A16" s="76" t="str">
        <f aca="false">$H$9&amp;$H$10&amp;$G16</f>
        <v>49DIA45997</v>
      </c>
      <c r="B16" s="76" t="str">
        <f aca="false">$I$9&amp;$I$10&amp;$G16</f>
        <v>49NOITE45997</v>
      </c>
      <c r="C16" s="76" t="str">
        <f aca="false">$J$9&amp;$J$10&amp;$G16</f>
        <v>25ARA45997</v>
      </c>
      <c r="D16" s="76" t="str">
        <f aca="false">$K$9&amp;$K$10&amp;$G16</f>
        <v>47CÇP45997</v>
      </c>
      <c r="E16" s="76" t="str">
        <f aca="false">$L$9&amp;$L$10&amp;$G16</f>
        <v>45PA45997</v>
      </c>
      <c r="F16" s="76" t="str">
        <f aca="false">$M$9&amp;$M$10&amp;$G16</f>
        <v>44DC45997</v>
      </c>
      <c r="G16" s="77" t="n">
        <v>45997</v>
      </c>
      <c r="H16" s="85" t="n">
        <v>80111.6207558741</v>
      </c>
      <c r="I16" s="86" t="n">
        <v>0</v>
      </c>
      <c r="J16" s="86" t="n">
        <v>0</v>
      </c>
      <c r="K16" s="86" t="n">
        <v>22915.2973322449</v>
      </c>
      <c r="L16" s="86" t="n">
        <v>0</v>
      </c>
      <c r="M16" s="86" t="n">
        <v>0</v>
      </c>
      <c r="N16" s="86" t="n">
        <v>9337.750956</v>
      </c>
      <c r="O16" s="86" t="n">
        <f aca="false">SUM(H16+I16+J16+K16+L16+M16+N16)</f>
        <v>112364.669044119</v>
      </c>
      <c r="P16" s="85" t="n">
        <v>100000</v>
      </c>
      <c r="Q16" s="86"/>
      <c r="R16" s="86" t="n">
        <v>24000</v>
      </c>
      <c r="S16" s="86" t="n">
        <v>24000</v>
      </c>
      <c r="T16" s="86" t="n">
        <v>0</v>
      </c>
      <c r="U16" s="86"/>
      <c r="V16" s="87" t="n">
        <f aca="false">SUM(P16+Q16+R16+S16+T16+U16)</f>
        <v>148000</v>
      </c>
      <c r="W16" s="16"/>
      <c r="X16" s="16"/>
      <c r="Z16" s="16"/>
      <c r="AC16" s="16"/>
      <c r="AF16" s="16"/>
      <c r="AI16" s="16"/>
      <c r="AL16" s="16"/>
      <c r="AO16" s="16"/>
      <c r="AS16" s="82"/>
      <c r="AT16" s="29" t="n">
        <f aca="false">IFERROR(P16/H16-1,0)</f>
        <v>0.248258355735084</v>
      </c>
      <c r="AU16" s="29" t="n">
        <f aca="false">IFERROR(Q16/I16-1,0)</f>
        <v>0</v>
      </c>
      <c r="AV16" s="29" t="n">
        <f aca="false">IFERROR(R16/J16-1,0)</f>
        <v>0</v>
      </c>
      <c r="AW16" s="29" t="n">
        <f aca="false">IFERROR(S16/K16-1,0)</f>
        <v>0.0473353084635204</v>
      </c>
      <c r="AX16" s="29" t="n">
        <f aca="false">IFERROR(T16/L16-1,0)</f>
        <v>0</v>
      </c>
      <c r="AY16" s="29" t="n">
        <f aca="false">IFERROR(U16/M16-1,0)</f>
        <v>0</v>
      </c>
      <c r="AZ16" s="83" t="n">
        <f aca="false">IFERROR(V16/O16-1,0)</f>
        <v>0.317139998355614</v>
      </c>
      <c r="BA16" s="84" t="n">
        <f aca="false">P16-H16</f>
        <v>19888.3792441259</v>
      </c>
      <c r="BB16" s="13" t="n">
        <f aca="false">Q16-I16</f>
        <v>0</v>
      </c>
      <c r="BC16" s="13" t="n">
        <f aca="false">R16-J16</f>
        <v>24000</v>
      </c>
      <c r="BD16" s="13" t="n">
        <f aca="false">S16-K16</f>
        <v>1084.7026677551</v>
      </c>
      <c r="BE16" s="13" t="n">
        <f aca="false">T16-L16</f>
        <v>0</v>
      </c>
      <c r="BF16" s="13" t="n">
        <f aca="false">U16-M16</f>
        <v>0</v>
      </c>
      <c r="BG16" s="82" t="n">
        <f aca="false">V16-O16</f>
        <v>35635.330955881</v>
      </c>
    </row>
    <row r="17" customFormat="false" ht="14.25" hidden="false" customHeight="false" outlineLevel="0" collapsed="false">
      <c r="A17" s="76" t="str">
        <f aca="false">$H$9&amp;$H$10&amp;$G17</f>
        <v>49DIA45998</v>
      </c>
      <c r="B17" s="76" t="str">
        <f aca="false">$I$9&amp;$I$10&amp;$G17</f>
        <v>49NOITE45998</v>
      </c>
      <c r="C17" s="76" t="str">
        <f aca="false">$J$9&amp;$J$10&amp;$G17</f>
        <v>25ARA45998</v>
      </c>
      <c r="D17" s="76" t="str">
        <f aca="false">$K$9&amp;$K$10&amp;$G17</f>
        <v>47CÇP45998</v>
      </c>
      <c r="E17" s="76" t="str">
        <f aca="false">$L$9&amp;$L$10&amp;$G17</f>
        <v>45PA45998</v>
      </c>
      <c r="F17" s="76" t="str">
        <f aca="false">$M$9&amp;$M$10&amp;$G17</f>
        <v>44DC45998</v>
      </c>
      <c r="G17" s="77" t="n">
        <v>45998</v>
      </c>
      <c r="H17" s="88" t="n">
        <v>0</v>
      </c>
      <c r="I17" s="89" t="n">
        <v>0</v>
      </c>
      <c r="J17" s="89" t="n">
        <v>0</v>
      </c>
      <c r="K17" s="89" t="n">
        <v>0</v>
      </c>
      <c r="L17" s="89" t="n">
        <v>0</v>
      </c>
      <c r="M17" s="89" t="n">
        <v>0</v>
      </c>
      <c r="N17" s="89" t="n">
        <v>0</v>
      </c>
      <c r="O17" s="86"/>
      <c r="P17" s="88"/>
      <c r="Q17" s="89"/>
      <c r="R17" s="89"/>
      <c r="S17" s="89"/>
      <c r="T17" s="89"/>
      <c r="U17" s="89"/>
      <c r="V17" s="87"/>
      <c r="W17" s="16"/>
      <c r="Z17" s="16"/>
      <c r="AC17" s="16"/>
      <c r="AF17" s="16"/>
      <c r="AI17" s="16"/>
      <c r="AL17" s="16"/>
      <c r="AO17" s="16"/>
      <c r="AS17" s="82"/>
      <c r="AT17" s="29" t="n">
        <f aca="false">IFERROR(P17/H17-1,0)</f>
        <v>0</v>
      </c>
      <c r="AU17" s="29" t="n">
        <f aca="false">IFERROR(Q17/I17-1,0)</f>
        <v>0</v>
      </c>
      <c r="AV17" s="29" t="n">
        <f aca="false">IFERROR(R17/J17-1,0)</f>
        <v>0</v>
      </c>
      <c r="AW17" s="29" t="n">
        <f aca="false">IFERROR(S17/K17-1,0)</f>
        <v>0</v>
      </c>
      <c r="AX17" s="29" t="n">
        <f aca="false">IFERROR(T17/L17-1,0)</f>
        <v>0</v>
      </c>
      <c r="AY17" s="29" t="n">
        <f aca="false">IFERROR(U17/M17-1,0)</f>
        <v>0</v>
      </c>
      <c r="AZ17" s="83" t="n">
        <f aca="false">IFERROR(V17/O17-1,0)</f>
        <v>0</v>
      </c>
      <c r="BA17" s="84" t="n">
        <f aca="false">P17-H17</f>
        <v>0</v>
      </c>
      <c r="BB17" s="13" t="n">
        <f aca="false">Q17-I17</f>
        <v>0</v>
      </c>
      <c r="BC17" s="13" t="n">
        <f aca="false">R17-J17</f>
        <v>0</v>
      </c>
      <c r="BD17" s="13" t="n">
        <f aca="false">S17-K17</f>
        <v>0</v>
      </c>
      <c r="BE17" s="13" t="n">
        <f aca="false">T17-L17</f>
        <v>0</v>
      </c>
      <c r="BF17" s="13" t="n">
        <f aca="false">U17-M17</f>
        <v>0</v>
      </c>
      <c r="BG17" s="82" t="n">
        <f aca="false">V17-O17</f>
        <v>0</v>
      </c>
    </row>
    <row r="18" customFormat="false" ht="14.25" hidden="false" customHeight="false" outlineLevel="0" collapsed="false">
      <c r="A18" s="76" t="str">
        <f aca="false">$H$9&amp;$H$10&amp;$G18</f>
        <v>49DIA45999</v>
      </c>
      <c r="B18" s="76" t="str">
        <f aca="false">$I$9&amp;$I$10&amp;$G18</f>
        <v>49NOITE45999</v>
      </c>
      <c r="C18" s="76" t="str">
        <f aca="false">$J$9&amp;$J$10&amp;$G18</f>
        <v>25ARA45999</v>
      </c>
      <c r="D18" s="76" t="str">
        <f aca="false">$K$9&amp;$K$10&amp;$G18</f>
        <v>47CÇP45999</v>
      </c>
      <c r="E18" s="76" t="str">
        <f aca="false">$L$9&amp;$L$10&amp;$G18</f>
        <v>45PA45999</v>
      </c>
      <c r="F18" s="76" t="str">
        <f aca="false">$M$9&amp;$M$10&amp;$G18</f>
        <v>44DC45999</v>
      </c>
      <c r="G18" s="77" t="n">
        <v>45999</v>
      </c>
      <c r="H18" s="85" t="n">
        <v>173252.947033798</v>
      </c>
      <c r="I18" s="86" t="n">
        <v>156424.83028618</v>
      </c>
      <c r="J18" s="86" t="n">
        <v>33209.8657586625</v>
      </c>
      <c r="K18" s="86" t="n">
        <v>41189.0291860015</v>
      </c>
      <c r="L18" s="86" t="n">
        <v>22650.5318970135</v>
      </c>
      <c r="M18" s="86" t="n">
        <v>22191.7477014376</v>
      </c>
      <c r="N18" s="86" t="n">
        <v>36851.5868696779</v>
      </c>
      <c r="O18" s="86" t="n">
        <f aca="false">SUM(H18+I18+J18+K18+L18+M18+N18)</f>
        <v>485770.538732771</v>
      </c>
      <c r="P18" s="85" t="n">
        <v>180000</v>
      </c>
      <c r="Q18" s="86" t="n">
        <v>160000</v>
      </c>
      <c r="R18" s="86" t="n">
        <v>38000</v>
      </c>
      <c r="S18" s="86" t="n">
        <v>48000</v>
      </c>
      <c r="T18" s="86" t="n">
        <v>24000</v>
      </c>
      <c r="U18" s="86" t="n">
        <v>25000</v>
      </c>
      <c r="V18" s="87" t="n">
        <f aca="false">SUM(P18+Q18+R18+S18+T18+U18)</f>
        <v>475000</v>
      </c>
      <c r="W18" s="16"/>
      <c r="Z18" s="16"/>
      <c r="AC18" s="16"/>
      <c r="AF18" s="16"/>
      <c r="AI18" s="16"/>
      <c r="AL18" s="16"/>
      <c r="AO18" s="16"/>
      <c r="AS18" s="82"/>
      <c r="AT18" s="29" t="n">
        <f aca="false">IFERROR(P18/H18-1,0)</f>
        <v>0.038943366226758</v>
      </c>
      <c r="AU18" s="29" t="n">
        <f aca="false">IFERROR(Q18/I18-1,0)</f>
        <v>0.0228555128190275</v>
      </c>
      <c r="AV18" s="29" t="n">
        <f aca="false">IFERROR(R18/J18-1,0)</f>
        <v>0.144238289794595</v>
      </c>
      <c r="AW18" s="29" t="n">
        <f aca="false">IFERROR(S18/K18-1,0)</f>
        <v>0.165358857652155</v>
      </c>
      <c r="AX18" s="29" t="n">
        <f aca="false">IFERROR(T18/L18-1,0)</f>
        <v>0.0595777666114952</v>
      </c>
      <c r="AY18" s="29" t="n">
        <f aca="false">IFERROR(U18/M18-1,0)</f>
        <v>0.126544891206585</v>
      </c>
      <c r="AZ18" s="83" t="n">
        <f aca="false">IFERROR(V18/O18-1,0)</f>
        <v>-0.022172070708256</v>
      </c>
      <c r="BA18" s="84" t="n">
        <f aca="false">P18-H18</f>
        <v>6747.05296620229</v>
      </c>
      <c r="BB18" s="13" t="n">
        <f aca="false">Q18-I18</f>
        <v>3575.16971382001</v>
      </c>
      <c r="BC18" s="13" t="n">
        <f aca="false">R18-J18</f>
        <v>4790.13424133754</v>
      </c>
      <c r="BD18" s="13" t="n">
        <f aca="false">S18-K18</f>
        <v>6810.97081399848</v>
      </c>
      <c r="BE18" s="13" t="n">
        <f aca="false">T18-L18</f>
        <v>1349.4681029865</v>
      </c>
      <c r="BF18" s="13" t="n">
        <f aca="false">U18-M18</f>
        <v>2808.25229856241</v>
      </c>
      <c r="BG18" s="82" t="n">
        <f aca="false">V18-O18</f>
        <v>-10770.5387327706</v>
      </c>
    </row>
    <row r="19" customFormat="false" ht="14.25" hidden="false" customHeight="false" outlineLevel="0" collapsed="false">
      <c r="A19" s="76" t="str">
        <f aca="false">$H$9&amp;$H$10&amp;$G19</f>
        <v>49DIA46000</v>
      </c>
      <c r="B19" s="76" t="str">
        <f aca="false">$I$9&amp;$I$10&amp;$G19</f>
        <v>49NOITE46000</v>
      </c>
      <c r="C19" s="76" t="str">
        <f aca="false">$J$9&amp;$J$10&amp;$G19</f>
        <v>25ARA46000</v>
      </c>
      <c r="D19" s="76" t="str">
        <f aca="false">$K$9&amp;$K$10&amp;$G19</f>
        <v>47CÇP46000</v>
      </c>
      <c r="E19" s="76" t="str">
        <f aca="false">$L$9&amp;$L$10&amp;$G19</f>
        <v>45PA46000</v>
      </c>
      <c r="F19" s="76" t="str">
        <f aca="false">$M$9&amp;$M$10&amp;$G19</f>
        <v>44DC46000</v>
      </c>
      <c r="G19" s="77" t="n">
        <v>46000</v>
      </c>
      <c r="H19" s="85" t="n">
        <v>219510.464756839</v>
      </c>
      <c r="I19" s="86" t="n">
        <v>157259.7505779</v>
      </c>
      <c r="J19" s="86" t="n">
        <v>50829.122823594</v>
      </c>
      <c r="K19" s="86" t="n">
        <v>59143.2213952842</v>
      </c>
      <c r="L19" s="86" t="n">
        <v>24205.182040854</v>
      </c>
      <c r="M19" s="86" t="n">
        <v>24410.9224715813</v>
      </c>
      <c r="N19" s="86" t="n">
        <v>18516.830202</v>
      </c>
      <c r="O19" s="86" t="n">
        <f aca="false">SUM(H19+I19+J19+K19+L19+M19+N19)</f>
        <v>553875.494268052</v>
      </c>
      <c r="P19" s="85" t="n">
        <v>220000</v>
      </c>
      <c r="Q19" s="86" t="n">
        <v>170000</v>
      </c>
      <c r="R19" s="86" t="n">
        <v>60000</v>
      </c>
      <c r="S19" s="86" t="n">
        <v>72000</v>
      </c>
      <c r="T19" s="86" t="n">
        <v>25000</v>
      </c>
      <c r="U19" s="86" t="n">
        <v>25000</v>
      </c>
      <c r="V19" s="87" t="n">
        <f aca="false">SUM(P19+Q19+R19+S19+T19+U19)</f>
        <v>572000</v>
      </c>
      <c r="W19" s="16"/>
      <c r="Z19" s="16"/>
      <c r="AC19" s="16"/>
      <c r="AF19" s="16"/>
      <c r="AI19" s="16"/>
      <c r="AL19" s="16"/>
      <c r="AO19" s="16"/>
      <c r="AS19" s="82"/>
      <c r="AT19" s="29" t="n">
        <f aca="false">IFERROR(P19/H19-1,0)</f>
        <v>0.00223012257617472</v>
      </c>
      <c r="AU19" s="29" t="n">
        <f aca="false">IFERROR(Q19/I19-1,0)</f>
        <v>0.0810140507999184</v>
      </c>
      <c r="AV19" s="29" t="n">
        <f aca="false">IFERROR(R19/J19-1,0)</f>
        <v>0.180425643154106</v>
      </c>
      <c r="AW19" s="29" t="n">
        <f aca="false">IFERROR(S19/K19-1,0)</f>
        <v>0.217383806654483</v>
      </c>
      <c r="AX19" s="29" t="n">
        <f aca="false">IFERROR(T19/L19-1,0)</f>
        <v>0.0328366858718316</v>
      </c>
      <c r="AY19" s="29" t="n">
        <f aca="false">IFERROR(U19/M19-1,0)</f>
        <v>0.024131719278714</v>
      </c>
      <c r="AZ19" s="83" t="n">
        <f aca="false">IFERROR(V19/O19-1,0)</f>
        <v>0.0327230684865365</v>
      </c>
      <c r="BA19" s="84" t="n">
        <f aca="false">P19-H19</f>
        <v>489.535243160848</v>
      </c>
      <c r="BB19" s="13" t="n">
        <f aca="false">Q19-I19</f>
        <v>12740.2494221005</v>
      </c>
      <c r="BC19" s="13" t="n">
        <f aca="false">R19-J19</f>
        <v>9170.87717640602</v>
      </c>
      <c r="BD19" s="13" t="n">
        <f aca="false">S19-K19</f>
        <v>12856.7786047158</v>
      </c>
      <c r="BE19" s="13" t="n">
        <f aca="false">T19-L19</f>
        <v>794.817959146021</v>
      </c>
      <c r="BF19" s="13" t="n">
        <f aca="false">U19-M19</f>
        <v>589.077528418653</v>
      </c>
      <c r="BG19" s="82" t="n">
        <f aca="false">V19-O19</f>
        <v>18124.5057319477</v>
      </c>
    </row>
    <row r="20" customFormat="false" ht="14.25" hidden="false" customHeight="false" outlineLevel="0" collapsed="false">
      <c r="A20" s="76" t="str">
        <f aca="false">$H$9&amp;$H$10&amp;$G20</f>
        <v>49DIA46001</v>
      </c>
      <c r="B20" s="76" t="str">
        <f aca="false">$I$9&amp;$I$10&amp;$G20</f>
        <v>49NOITE46001</v>
      </c>
      <c r="C20" s="76" t="str">
        <f aca="false">$J$9&amp;$J$10&amp;$G20</f>
        <v>25ARA46001</v>
      </c>
      <c r="D20" s="76" t="str">
        <f aca="false">$K$9&amp;$K$10&amp;$G20</f>
        <v>47CÇP46001</v>
      </c>
      <c r="E20" s="76" t="str">
        <f aca="false">$L$9&amp;$L$10&amp;$G20</f>
        <v>45PA46001</v>
      </c>
      <c r="F20" s="76" t="str">
        <f aca="false">$M$9&amp;$M$10&amp;$G20</f>
        <v>44DC46001</v>
      </c>
      <c r="G20" s="77" t="n">
        <v>46001</v>
      </c>
      <c r="H20" s="85" t="n">
        <v>219114.021248627</v>
      </c>
      <c r="I20" s="86" t="n">
        <v>149832.212917797</v>
      </c>
      <c r="J20" s="86" t="n">
        <v>56663.6218107373</v>
      </c>
      <c r="K20" s="86" t="n">
        <v>59918.4200471439</v>
      </c>
      <c r="L20" s="86" t="n">
        <v>36034.9371088851</v>
      </c>
      <c r="M20" s="86" t="n">
        <v>33287.6215521564</v>
      </c>
      <c r="N20" s="86" t="n">
        <v>19118.980368</v>
      </c>
      <c r="O20" s="86" t="n">
        <f aca="false">SUM(H20+I20+J20+K20+L20+M20+N20)</f>
        <v>573969.815053346</v>
      </c>
      <c r="P20" s="85" t="n">
        <v>220000</v>
      </c>
      <c r="Q20" s="86" t="n">
        <v>170000</v>
      </c>
      <c r="R20" s="86" t="n">
        <v>60000</v>
      </c>
      <c r="S20" s="86" t="n">
        <v>72000</v>
      </c>
      <c r="T20" s="86" t="n">
        <v>38000</v>
      </c>
      <c r="U20" s="86" t="n">
        <v>38000</v>
      </c>
      <c r="V20" s="87" t="n">
        <f aca="false">SUM(P20+Q20+R20+S20+T20+U20)</f>
        <v>598000</v>
      </c>
      <c r="W20" s="16"/>
      <c r="Z20" s="16"/>
      <c r="AC20" s="16"/>
      <c r="AF20" s="16"/>
      <c r="AI20" s="16"/>
      <c r="AL20" s="16"/>
      <c r="AO20" s="16"/>
      <c r="AS20" s="82"/>
      <c r="AT20" s="29" t="n">
        <f aca="false">IFERROR(P20/H20-1,0)</f>
        <v>0.0040434598677197</v>
      </c>
      <c r="AU20" s="29" t="n">
        <f aca="false">IFERROR(Q20/I20-1,0)</f>
        <v>0.134602477594507</v>
      </c>
      <c r="AV20" s="29" t="n">
        <f aca="false">IFERROR(R20/J20-1,0)</f>
        <v>0.058880425970768</v>
      </c>
      <c r="AW20" s="29" t="n">
        <f aca="false">IFERROR(S20/K20-1,0)</f>
        <v>0.201633820507122</v>
      </c>
      <c r="AX20" s="29" t="n">
        <f aca="false">IFERROR(T20/L20-1,0)</f>
        <v>0.0545321581990594</v>
      </c>
      <c r="AY20" s="29" t="n">
        <f aca="false">IFERROR(U20/M20-1,0)</f>
        <v>0.141565489756007</v>
      </c>
      <c r="AZ20" s="83" t="n">
        <f aca="false">IFERROR(V20/O20-1,0)</f>
        <v>0.0418666353463562</v>
      </c>
      <c r="BA20" s="84" t="n">
        <f aca="false">P20-H20</f>
        <v>885.978751373506</v>
      </c>
      <c r="BB20" s="13" t="n">
        <f aca="false">Q20-I20</f>
        <v>20167.7870822031</v>
      </c>
      <c r="BC20" s="13" t="n">
        <f aca="false">R20-J20</f>
        <v>3336.37818926272</v>
      </c>
      <c r="BD20" s="13" t="n">
        <f aca="false">S20-K20</f>
        <v>12081.5799528561</v>
      </c>
      <c r="BE20" s="13" t="n">
        <f aca="false">T20-L20</f>
        <v>1965.06289111488</v>
      </c>
      <c r="BF20" s="13" t="n">
        <f aca="false">U20-M20</f>
        <v>4712.37844784362</v>
      </c>
      <c r="BG20" s="82" t="n">
        <f aca="false">V20-O20</f>
        <v>24030.1849466539</v>
      </c>
    </row>
    <row r="21" customFormat="false" ht="14.25" hidden="false" customHeight="false" outlineLevel="0" collapsed="false">
      <c r="A21" s="76" t="str">
        <f aca="false">$H$9&amp;$H$10&amp;$G21</f>
        <v>49DIA46002</v>
      </c>
      <c r="B21" s="76" t="str">
        <f aca="false">$I$9&amp;$I$10&amp;$G21</f>
        <v>49NOITE46002</v>
      </c>
      <c r="C21" s="76" t="str">
        <f aca="false">$J$9&amp;$J$10&amp;$G21</f>
        <v>25ARA46002</v>
      </c>
      <c r="D21" s="76" t="str">
        <f aca="false">$K$9&amp;$K$10&amp;$G21</f>
        <v>47CÇP46002</v>
      </c>
      <c r="E21" s="76" t="str">
        <f aca="false">$L$9&amp;$L$10&amp;$G21</f>
        <v>45PA46002</v>
      </c>
      <c r="F21" s="76" t="str">
        <f aca="false">$M$9&amp;$M$10&amp;$G21</f>
        <v>44DC46002</v>
      </c>
      <c r="G21" s="77" t="n">
        <v>46002</v>
      </c>
      <c r="H21" s="85" t="n">
        <v>203393.864142766</v>
      </c>
      <c r="I21" s="86" t="n">
        <v>138989.092246114</v>
      </c>
      <c r="J21" s="86" t="n">
        <v>51585.3589095841</v>
      </c>
      <c r="K21" s="86" t="n">
        <v>59143.2213952842</v>
      </c>
      <c r="L21" s="86" t="n">
        <v>26913.9797418105</v>
      </c>
      <c r="M21" s="86" t="n">
        <v>24410.9224715813</v>
      </c>
      <c r="N21" s="86" t="n">
        <v>18417.552174</v>
      </c>
      <c r="O21" s="86" t="n">
        <f aca="false">SUM(H21+I21+J21+K21+L21+M21+N21)</f>
        <v>522853.99108114</v>
      </c>
      <c r="P21" s="85" t="n">
        <v>210000</v>
      </c>
      <c r="Q21" s="86" t="n">
        <v>160000</v>
      </c>
      <c r="R21" s="86" t="n">
        <v>60000</v>
      </c>
      <c r="S21" s="86" t="n">
        <v>60000</v>
      </c>
      <c r="T21" s="86" t="n">
        <v>38000</v>
      </c>
      <c r="U21" s="86" t="n">
        <v>25000</v>
      </c>
      <c r="V21" s="87" t="n">
        <f aca="false">SUM(P21+Q21+R21+S21+T21+U21)</f>
        <v>553000</v>
      </c>
      <c r="W21" s="90"/>
      <c r="X21" s="16"/>
      <c r="Z21" s="90"/>
      <c r="AC21" s="90"/>
      <c r="AF21" s="90"/>
      <c r="AI21" s="90"/>
      <c r="AL21" s="90"/>
      <c r="AO21" s="90"/>
      <c r="AS21" s="82"/>
      <c r="AT21" s="29" t="n">
        <f aca="false">IFERROR(P21/H21-1,0)</f>
        <v>0.0324795238296731</v>
      </c>
      <c r="AU21" s="29" t="n">
        <f aca="false">IFERROR(Q21/I21-1,0)</f>
        <v>0.151169472469687</v>
      </c>
      <c r="AV21" s="29" t="n">
        <f aca="false">IFERROR(R21/J21-1,0)</f>
        <v>0.163120723947363</v>
      </c>
      <c r="AW21" s="29" t="n">
        <f aca="false">IFERROR(S21/K21-1,0)</f>
        <v>0.0144865055454027</v>
      </c>
      <c r="AX21" s="29" t="n">
        <f aca="false">IFERROR(T21/L21-1,0)</f>
        <v>0.411905647716885</v>
      </c>
      <c r="AY21" s="29" t="n">
        <f aca="false">IFERROR(U21/M21-1,0)</f>
        <v>0.024131719278714</v>
      </c>
      <c r="AZ21" s="83" t="n">
        <f aca="false">IFERROR(V21/O21-1,0)</f>
        <v>0.057656648764457</v>
      </c>
      <c r="BA21" s="84" t="n">
        <f aca="false">P21-H21</f>
        <v>6606.13585723424</v>
      </c>
      <c r="BB21" s="13" t="n">
        <f aca="false">Q21-I21</f>
        <v>21010.9077538858</v>
      </c>
      <c r="BC21" s="13" t="n">
        <f aca="false">R21-J21</f>
        <v>8414.6410904159</v>
      </c>
      <c r="BD21" s="13" t="n">
        <f aca="false">S21-K21</f>
        <v>856.778604715764</v>
      </c>
      <c r="BE21" s="13" t="n">
        <f aca="false">T21-L21</f>
        <v>11086.0202581895</v>
      </c>
      <c r="BF21" s="13" t="n">
        <f aca="false">U21-M21</f>
        <v>589.077528418653</v>
      </c>
      <c r="BG21" s="82" t="n">
        <f aca="false">V21-O21</f>
        <v>30146.0089188598</v>
      </c>
    </row>
    <row r="22" customFormat="false" ht="14.25" hidden="false" customHeight="false" outlineLevel="0" collapsed="false">
      <c r="A22" s="76" t="str">
        <f aca="false">$H$9&amp;$H$10&amp;$G22</f>
        <v>49DIA46003</v>
      </c>
      <c r="B22" s="76" t="str">
        <f aca="false">$I$9&amp;$I$10&amp;$G22</f>
        <v>49NOITE46003</v>
      </c>
      <c r="C22" s="76" t="str">
        <f aca="false">$J$9&amp;$J$10&amp;$G22</f>
        <v>25ARA46003</v>
      </c>
      <c r="D22" s="76" t="str">
        <f aca="false">$K$9&amp;$K$10&amp;$G22</f>
        <v>47CÇP46003</v>
      </c>
      <c r="E22" s="76" t="str">
        <f aca="false">$L$9&amp;$L$10&amp;$G22</f>
        <v>45PA46003</v>
      </c>
      <c r="F22" s="76" t="str">
        <f aca="false">$M$9&amp;$M$10&amp;$G22</f>
        <v>44DC46003</v>
      </c>
      <c r="G22" s="77" t="n">
        <v>46003</v>
      </c>
      <c r="H22" s="85" t="n">
        <v>201788.726545247</v>
      </c>
      <c r="I22" s="86" t="n">
        <v>67030.2005158565</v>
      </c>
      <c r="J22" s="86" t="n">
        <v>46391.3359049293</v>
      </c>
      <c r="K22" s="86" t="n">
        <v>59143.2213952842</v>
      </c>
      <c r="L22" s="86" t="n">
        <v>31003.4303188531</v>
      </c>
      <c r="M22" s="86" t="n">
        <v>47712.2575580908</v>
      </c>
      <c r="N22" s="86" t="n">
        <v>19463.96602566</v>
      </c>
      <c r="O22" s="86" t="n">
        <f aca="false">SUM(H22+I22+J22+K22+L22+M22+N22)</f>
        <v>472533.138263921</v>
      </c>
      <c r="P22" s="85" t="n">
        <v>210000</v>
      </c>
      <c r="Q22" s="86" t="n">
        <v>100000</v>
      </c>
      <c r="R22" s="86" t="n">
        <v>50000</v>
      </c>
      <c r="S22" s="86" t="n">
        <v>60000</v>
      </c>
      <c r="T22" s="86" t="n">
        <v>38000</v>
      </c>
      <c r="U22" s="86" t="n">
        <v>50000</v>
      </c>
      <c r="V22" s="87" t="n">
        <f aca="false">SUM(P22+Q22+R22+S22+T22+U22)</f>
        <v>508000</v>
      </c>
      <c r="W22" s="16"/>
      <c r="X22" s="16"/>
      <c r="Z22" s="16"/>
      <c r="AC22" s="16"/>
      <c r="AF22" s="16"/>
      <c r="AI22" s="16"/>
      <c r="AL22" s="16"/>
      <c r="AO22" s="16"/>
      <c r="AS22" s="82"/>
      <c r="AT22" s="29" t="n">
        <f aca="false">IFERROR(P22/H22-1,0)</f>
        <v>0.0406924291328636</v>
      </c>
      <c r="AU22" s="29" t="n">
        <f aca="false">IFERROR(Q22/I22-1,0)</f>
        <v>0.491864849432223</v>
      </c>
      <c r="AV22" s="29" t="n">
        <f aca="false">IFERROR(R22/J22-1,0)</f>
        <v>0.0777874580388465</v>
      </c>
      <c r="AW22" s="29" t="n">
        <f aca="false">IFERROR(S22/K22-1,0)</f>
        <v>0.0144865055454027</v>
      </c>
      <c r="AX22" s="29" t="n">
        <f aca="false">IFERROR(T22/L22-1,0)</f>
        <v>0.225670824460103</v>
      </c>
      <c r="AY22" s="29" t="n">
        <f aca="false">IFERROR(U22/M22-1,0)</f>
        <v>0.0479487360061259</v>
      </c>
      <c r="AZ22" s="83" t="n">
        <f aca="false">IFERROR(V22/O22-1,0)</f>
        <v>0.0750568772094675</v>
      </c>
      <c r="BA22" s="84" t="n">
        <f aca="false">P22-H22</f>
        <v>8211.27345475328</v>
      </c>
      <c r="BB22" s="13" t="n">
        <f aca="false">Q22-I22</f>
        <v>32969.7994841435</v>
      </c>
      <c r="BC22" s="13" t="n">
        <f aca="false">R22-J22</f>
        <v>3608.66409507072</v>
      </c>
      <c r="BD22" s="13" t="n">
        <f aca="false">S22-K22</f>
        <v>856.778604715764</v>
      </c>
      <c r="BE22" s="13" t="n">
        <f aca="false">T22-L22</f>
        <v>6996.56968114692</v>
      </c>
      <c r="BF22" s="13" t="n">
        <f aca="false">U22-M22</f>
        <v>2287.74244190918</v>
      </c>
      <c r="BG22" s="82" t="n">
        <f aca="false">V22-O22</f>
        <v>35466.8617360794</v>
      </c>
    </row>
    <row r="23" customFormat="false" ht="14.25" hidden="false" customHeight="false" outlineLevel="0" collapsed="false">
      <c r="A23" s="76" t="str">
        <f aca="false">$H$9&amp;$H$10&amp;$G23</f>
        <v>49DIA46004</v>
      </c>
      <c r="B23" s="76" t="str">
        <f aca="false">$I$9&amp;$I$10&amp;$G23</f>
        <v>49NOITE46004</v>
      </c>
      <c r="C23" s="76" t="str">
        <f aca="false">$J$9&amp;$J$10&amp;$G23</f>
        <v>25ARA46004</v>
      </c>
      <c r="D23" s="76" t="str">
        <f aca="false">$K$9&amp;$K$10&amp;$G23</f>
        <v>47CÇP46004</v>
      </c>
      <c r="E23" s="76" t="str">
        <f aca="false">$L$9&amp;$L$10&amp;$G23</f>
        <v>45PA46004</v>
      </c>
      <c r="F23" s="76" t="str">
        <f aca="false">$M$9&amp;$M$10&amp;$G23</f>
        <v>44DC46004</v>
      </c>
      <c r="G23" s="77" t="n">
        <v>46004</v>
      </c>
      <c r="H23" s="91" t="n">
        <v>81530.7986041401</v>
      </c>
      <c r="I23" s="92" t="n">
        <v>0</v>
      </c>
      <c r="J23" s="92" t="n">
        <v>21823.6260699782</v>
      </c>
      <c r="K23" s="92" t="n">
        <v>23234.8369767188</v>
      </c>
      <c r="L23" s="92" t="n">
        <v>0</v>
      </c>
      <c r="M23" s="92" t="n">
        <v>0</v>
      </c>
      <c r="N23" s="92" t="n">
        <v>6625.66711402761</v>
      </c>
      <c r="O23" s="86" t="n">
        <f aca="false">SUM(H23+I23+J23+K23+L23+M23+N23)</f>
        <v>133214.928764865</v>
      </c>
      <c r="P23" s="91" t="n">
        <v>100000</v>
      </c>
      <c r="Q23" s="92"/>
      <c r="R23" s="92" t="n">
        <v>24000</v>
      </c>
      <c r="S23" s="92" t="n">
        <v>24000</v>
      </c>
      <c r="T23" s="86" t="n">
        <v>0</v>
      </c>
      <c r="U23" s="92"/>
      <c r="V23" s="87" t="n">
        <f aca="false">SUM(P23+Q23+R23+S23+T23+U23)</f>
        <v>148000</v>
      </c>
      <c r="W23" s="90"/>
      <c r="X23" s="16"/>
      <c r="Z23" s="90"/>
      <c r="AC23" s="90"/>
      <c r="AF23" s="90"/>
      <c r="AI23" s="90"/>
      <c r="AL23" s="90"/>
      <c r="AO23" s="90"/>
      <c r="AS23" s="82"/>
      <c r="AT23" s="29" t="n">
        <f aca="false">IFERROR(P23/H23-1,0)</f>
        <v>0.226530362906589</v>
      </c>
      <c r="AU23" s="29" t="n">
        <f aca="false">IFERROR(Q23/I23-1,0)</f>
        <v>0</v>
      </c>
      <c r="AV23" s="29" t="n">
        <f aca="false">IFERROR(R23/J23-1,0)</f>
        <v>0.0997255874456058</v>
      </c>
      <c r="AW23" s="29" t="n">
        <f aca="false">IFERROR(S23/K23-1,0)</f>
        <v>0.0329317147371373</v>
      </c>
      <c r="AX23" s="29" t="n">
        <f aca="false">IFERROR(T23/L23-1,0)</f>
        <v>0</v>
      </c>
      <c r="AY23" s="29" t="n">
        <f aca="false">IFERROR(U23/M23-1,0)</f>
        <v>0</v>
      </c>
      <c r="AZ23" s="83" t="n">
        <f aca="false">IFERROR(V23/O24-1,0)</f>
        <v>0</v>
      </c>
      <c r="BA23" s="84" t="n">
        <f aca="false">P23-H23</f>
        <v>18469.2013958599</v>
      </c>
      <c r="BB23" s="13" t="n">
        <f aca="false">Q23-I23</f>
        <v>0</v>
      </c>
      <c r="BC23" s="13" t="n">
        <f aca="false">R23-J23</f>
        <v>2176.37393002181</v>
      </c>
      <c r="BD23" s="13" t="n">
        <f aca="false">S23-K23</f>
        <v>765.163023281191</v>
      </c>
      <c r="BE23" s="13" t="n">
        <f aca="false">T23-L23</f>
        <v>0</v>
      </c>
      <c r="BF23" s="13" t="n">
        <f aca="false">U23-M23</f>
        <v>0</v>
      </c>
      <c r="BG23" s="82" t="n">
        <f aca="false">V23-O24</f>
        <v>148000</v>
      </c>
    </row>
    <row r="24" customFormat="false" ht="14.25" hidden="false" customHeight="false" outlineLevel="0" collapsed="false">
      <c r="A24" s="76" t="str">
        <f aca="false">$H$9&amp;$H$10&amp;$G24</f>
        <v>49DIA46005</v>
      </c>
      <c r="B24" s="76" t="str">
        <f aca="false">$I$9&amp;$I$10&amp;$G24</f>
        <v>49NOITE46005</v>
      </c>
      <c r="C24" s="76" t="str">
        <f aca="false">$J$9&amp;$J$10&amp;$G24</f>
        <v>25ARA46005</v>
      </c>
      <c r="D24" s="76" t="str">
        <f aca="false">$K$9&amp;$K$10&amp;$G24</f>
        <v>47CÇP46005</v>
      </c>
      <c r="E24" s="76" t="str">
        <f aca="false">$L$9&amp;$L$10&amp;$G24</f>
        <v>45PA46005</v>
      </c>
      <c r="F24" s="76" t="str">
        <f aca="false">$M$9&amp;$M$10&amp;$G24</f>
        <v>44DC46005</v>
      </c>
      <c r="G24" s="77" t="n">
        <v>46005</v>
      </c>
      <c r="H24" s="85" t="n">
        <v>0</v>
      </c>
      <c r="I24" s="86" t="n">
        <v>0</v>
      </c>
      <c r="J24" s="86" t="n">
        <v>0</v>
      </c>
      <c r="K24" s="86" t="n">
        <v>0</v>
      </c>
      <c r="L24" s="86" t="n">
        <v>0</v>
      </c>
      <c r="M24" s="86" t="n">
        <v>0</v>
      </c>
      <c r="N24" s="86" t="n">
        <v>0</v>
      </c>
      <c r="O24" s="86"/>
      <c r="P24" s="85"/>
      <c r="Q24" s="86"/>
      <c r="R24" s="86"/>
      <c r="S24" s="86"/>
      <c r="T24" s="89"/>
      <c r="U24" s="86"/>
      <c r="V24" s="87"/>
      <c r="W24" s="90"/>
      <c r="Z24" s="90"/>
      <c r="AC24" s="90"/>
      <c r="AF24" s="90"/>
      <c r="AI24" s="90"/>
      <c r="AL24" s="90"/>
      <c r="AO24" s="90"/>
      <c r="AS24" s="82"/>
      <c r="AT24" s="29"/>
      <c r="AU24" s="29"/>
      <c r="AV24" s="29"/>
      <c r="AW24" s="29"/>
      <c r="AX24" s="29"/>
      <c r="AY24" s="29"/>
      <c r="AZ24" s="83"/>
      <c r="BA24" s="84"/>
      <c r="BB24" s="13"/>
      <c r="BC24" s="13"/>
      <c r="BD24" s="13"/>
      <c r="BE24" s="13"/>
      <c r="BF24" s="13"/>
      <c r="BG24" s="82"/>
    </row>
    <row r="25" customFormat="false" ht="14.25" hidden="false" customHeight="false" outlineLevel="0" collapsed="false">
      <c r="A25" s="76" t="str">
        <f aca="false">$H$9&amp;$H$10&amp;$G25</f>
        <v>49DIA46006</v>
      </c>
      <c r="B25" s="76" t="str">
        <f aca="false">$I$9&amp;$I$10&amp;$G25</f>
        <v>49NOITE46006</v>
      </c>
      <c r="C25" s="76" t="str">
        <f aca="false">$J$9&amp;$J$10&amp;$G25</f>
        <v>25ARA46006</v>
      </c>
      <c r="D25" s="76" t="str">
        <f aca="false">$K$9&amp;$K$10&amp;$G25</f>
        <v>47CÇP46006</v>
      </c>
      <c r="E25" s="76" t="str">
        <f aca="false">$L$9&amp;$L$10&amp;$G25</f>
        <v>45PA46006</v>
      </c>
      <c r="F25" s="76" t="str">
        <f aca="false">$M$9&amp;$M$10&amp;$G25</f>
        <v>44DC46006</v>
      </c>
      <c r="G25" s="77" t="n">
        <v>46006</v>
      </c>
      <c r="H25" s="85" t="n">
        <v>179777.00296006</v>
      </c>
      <c r="I25" s="86" t="n">
        <v>158198.832225703</v>
      </c>
      <c r="J25" s="86" t="n">
        <v>37727.003955881</v>
      </c>
      <c r="K25" s="86" t="n">
        <v>47078.8413723783</v>
      </c>
      <c r="L25" s="86" t="n">
        <v>21803.3071550928</v>
      </c>
      <c r="M25" s="86" t="n">
        <v>22527.3824702569</v>
      </c>
      <c r="N25" s="86" t="n">
        <v>30954.713421262</v>
      </c>
      <c r="O25" s="86" t="n">
        <f aca="false">SUM(H25+I25+J25+K25+L25+M25+N25)</f>
        <v>498067.083560633</v>
      </c>
      <c r="P25" s="85" t="n">
        <v>180000</v>
      </c>
      <c r="Q25" s="86" t="n">
        <v>160000</v>
      </c>
      <c r="R25" s="86" t="n">
        <v>38000</v>
      </c>
      <c r="S25" s="86" t="n">
        <v>48000</v>
      </c>
      <c r="T25" s="86" t="n">
        <v>24000</v>
      </c>
      <c r="U25" s="86" t="n">
        <v>25000</v>
      </c>
      <c r="V25" s="87" t="n">
        <f aca="false">SUM(P25+Q25+R25+S25+T25+U25)</f>
        <v>475000</v>
      </c>
      <c r="W25" s="90"/>
      <c r="Z25" s="16"/>
      <c r="AC25" s="90"/>
      <c r="AF25" s="90"/>
      <c r="AI25" s="90"/>
      <c r="AL25" s="90"/>
      <c r="AO25" s="16"/>
      <c r="AS25" s="82"/>
      <c r="AT25" s="29" t="n">
        <f aca="false">IFERROR(P25/H25-1,0)</f>
        <v>0.00124040915283152</v>
      </c>
      <c r="AU25" s="29" t="n">
        <f aca="false">IFERROR(Q25/I25-1,0)</f>
        <v>0.0113854682045165</v>
      </c>
      <c r="AV25" s="29" t="n">
        <f aca="false">IFERROR(R25/J25-1,0)</f>
        <v>0.00723609127399194</v>
      </c>
      <c r="AW25" s="29" t="n">
        <f aca="false">IFERROR(S25/K25-1,0)</f>
        <v>0.0195662977416047</v>
      </c>
      <c r="AX25" s="29" t="n">
        <f aca="false">IFERROR(T25/L25-1,0)</f>
        <v>0.10075044254899</v>
      </c>
      <c r="AY25" s="29" t="n">
        <f aca="false">IFERROR(U25/M25-1,0)</f>
        <v>0.109760534008231</v>
      </c>
      <c r="AZ25" s="83" t="n">
        <f aca="false">IFERROR(V25/O25-1,0)</f>
        <v>-0.0463132062366559</v>
      </c>
      <c r="BA25" s="84" t="n">
        <f aca="false">P25-H25</f>
        <v>222.997039940296</v>
      </c>
      <c r="BB25" s="13" t="n">
        <f aca="false">Q25-I25</f>
        <v>1801.16777429738</v>
      </c>
      <c r="BC25" s="13" t="n">
        <f aca="false">R25-J25</f>
        <v>272.996044119012</v>
      </c>
      <c r="BD25" s="13" t="n">
        <f aca="false">S25-K25</f>
        <v>921.158627621728</v>
      </c>
      <c r="BE25" s="13" t="n">
        <f aca="false">T25-L25</f>
        <v>2196.69284490715</v>
      </c>
      <c r="BF25" s="13" t="n">
        <f aca="false">U25-M25</f>
        <v>2472.61752974306</v>
      </c>
      <c r="BG25" s="82" t="n">
        <f aca="false">V25-O25</f>
        <v>-23067.0835606334</v>
      </c>
    </row>
    <row r="26" customFormat="false" ht="14.25" hidden="false" customHeight="false" outlineLevel="0" collapsed="false">
      <c r="A26" s="76" t="str">
        <f aca="false">$H$9&amp;$H$10&amp;$G26</f>
        <v>49DIA46007</v>
      </c>
      <c r="B26" s="76" t="str">
        <f aca="false">$I$9&amp;$I$10&amp;$G26</f>
        <v>49NOITE46007</v>
      </c>
      <c r="C26" s="76" t="str">
        <f aca="false">$J$9&amp;$J$10&amp;$G26</f>
        <v>25ARA46007</v>
      </c>
      <c r="D26" s="76" t="str">
        <f aca="false">$K$9&amp;$K$10&amp;$G26</f>
        <v>47CÇP46007</v>
      </c>
      <c r="E26" s="76" t="str">
        <f aca="false">$L$9&amp;$L$10&amp;$G26</f>
        <v>45PA46007</v>
      </c>
      <c r="F26" s="76" t="str">
        <f aca="false">$M$9&amp;$M$10&amp;$G26</f>
        <v>44DC46007</v>
      </c>
      <c r="G26" s="77" t="n">
        <v>46007</v>
      </c>
      <c r="H26" s="85" t="n">
        <v>219388.884968208</v>
      </c>
      <c r="I26" s="86" t="n">
        <v>166208.899680169</v>
      </c>
      <c r="J26" s="86" t="n">
        <v>57923.212348563</v>
      </c>
      <c r="K26" s="86" t="n">
        <v>58848.5517154728</v>
      </c>
      <c r="L26" s="86" t="n">
        <v>25437.1916809417</v>
      </c>
      <c r="M26" s="86" t="n">
        <v>21660.9446829394</v>
      </c>
      <c r="N26" s="86" t="n">
        <v>30184.7045715242</v>
      </c>
      <c r="O26" s="86" t="n">
        <f aca="false">SUM(H26+I26+J26+K26+L26+M26+N26)</f>
        <v>579652.389647818</v>
      </c>
      <c r="P26" s="85" t="n">
        <v>220000</v>
      </c>
      <c r="Q26" s="86" t="n">
        <v>170000</v>
      </c>
      <c r="R26" s="86" t="n">
        <v>60000</v>
      </c>
      <c r="S26" s="86" t="n">
        <v>72000</v>
      </c>
      <c r="T26" s="86" t="n">
        <v>38000</v>
      </c>
      <c r="U26" s="86" t="n">
        <v>25000</v>
      </c>
      <c r="V26" s="87" t="n">
        <f aca="false">SUM(P26+Q26+R26+S26+T26+U26)</f>
        <v>585000</v>
      </c>
      <c r="W26" s="16"/>
      <c r="X26" s="16"/>
      <c r="Z26" s="16"/>
      <c r="AC26" s="16"/>
      <c r="AF26" s="16"/>
      <c r="AI26" s="16"/>
      <c r="AL26" s="16"/>
      <c r="AO26" s="16"/>
      <c r="AS26" s="82"/>
      <c r="AT26" s="29"/>
      <c r="AU26" s="29"/>
      <c r="AV26" s="29"/>
      <c r="AW26" s="29"/>
      <c r="AX26" s="29"/>
      <c r="AY26" s="29"/>
      <c r="AZ26" s="83"/>
      <c r="BA26" s="84"/>
      <c r="BB26" s="13"/>
      <c r="BC26" s="13"/>
      <c r="BD26" s="13"/>
      <c r="BE26" s="13"/>
      <c r="BF26" s="13"/>
      <c r="BG26" s="82"/>
    </row>
    <row r="27" customFormat="false" ht="14.25" hidden="false" customHeight="false" outlineLevel="0" collapsed="false">
      <c r="A27" s="76" t="str">
        <f aca="false">$H$9&amp;$H$10&amp;$G27</f>
        <v>49DIA46008</v>
      </c>
      <c r="B27" s="76" t="str">
        <f aca="false">$I$9&amp;$I$10&amp;$G27</f>
        <v>49NOITE46008</v>
      </c>
      <c r="C27" s="76" t="str">
        <f aca="false">$J$9&amp;$J$10&amp;$G27</f>
        <v>25ARA46008</v>
      </c>
      <c r="D27" s="76" t="str">
        <f aca="false">$K$9&amp;$K$10&amp;$G27</f>
        <v>47CÇP46008</v>
      </c>
      <c r="E27" s="76" t="str">
        <f aca="false">$L$9&amp;$L$10&amp;$G27</f>
        <v>45PA46008</v>
      </c>
      <c r="F27" s="76" t="str">
        <f aca="false">$M$9&amp;$M$10&amp;$G27</f>
        <v>44DC46008</v>
      </c>
      <c r="G27" s="77" t="n">
        <v>46008</v>
      </c>
      <c r="H27" s="85" t="n">
        <v>219388.884968208</v>
      </c>
      <c r="I27" s="86" t="n">
        <v>165207.64124836</v>
      </c>
      <c r="J27" s="86" t="n">
        <v>52817.8055382334</v>
      </c>
      <c r="K27" s="86" t="n">
        <v>58848.5517154728</v>
      </c>
      <c r="L27" s="86" t="n">
        <v>31796.4896011771</v>
      </c>
      <c r="M27" s="86" t="n">
        <v>47654.0783024666</v>
      </c>
      <c r="N27" s="86" t="n">
        <v>22684.9567508138</v>
      </c>
      <c r="O27" s="86" t="n">
        <f aca="false">SUM(H27+I27+J27+K27+L27+M27+N27)</f>
        <v>598398.408124733</v>
      </c>
      <c r="P27" s="85" t="n">
        <v>220000</v>
      </c>
      <c r="Q27" s="86" t="n">
        <v>170000</v>
      </c>
      <c r="R27" s="86" t="n">
        <v>60000</v>
      </c>
      <c r="S27" s="86" t="n">
        <v>72000</v>
      </c>
      <c r="T27" s="86" t="n">
        <v>38000</v>
      </c>
      <c r="U27" s="86" t="n">
        <v>50000</v>
      </c>
      <c r="V27" s="87" t="n">
        <f aca="false">SUM(P27+Q27+R27+S27+T27+U27)</f>
        <v>610000</v>
      </c>
      <c r="W27" s="16"/>
      <c r="X27" s="16"/>
      <c r="Z27" s="16"/>
      <c r="AC27" s="16"/>
      <c r="AF27" s="16"/>
      <c r="AI27" s="16"/>
      <c r="AL27" s="16"/>
      <c r="AO27" s="16"/>
      <c r="AS27" s="82"/>
      <c r="AT27" s="29"/>
      <c r="AU27" s="29"/>
      <c r="AV27" s="29"/>
      <c r="AW27" s="29"/>
      <c r="AX27" s="29"/>
      <c r="AY27" s="29"/>
      <c r="AZ27" s="83"/>
      <c r="BA27" s="84"/>
      <c r="BB27" s="13"/>
      <c r="BC27" s="13"/>
      <c r="BD27" s="13"/>
      <c r="BE27" s="13"/>
      <c r="BF27" s="13"/>
      <c r="BG27" s="82"/>
    </row>
    <row r="28" customFormat="false" ht="14.25" hidden="false" customHeight="false" outlineLevel="0" collapsed="false">
      <c r="A28" s="76" t="str">
        <f aca="false">$H$9&amp;$H$10&amp;$G28</f>
        <v>49DIA46009</v>
      </c>
      <c r="B28" s="76" t="str">
        <f aca="false">$I$9&amp;$I$10&amp;$G28</f>
        <v>49NOITE46009</v>
      </c>
      <c r="C28" s="76" t="str">
        <f aca="false">$J$9&amp;$J$10&amp;$G28</f>
        <v>25ARA46009</v>
      </c>
      <c r="D28" s="76" t="str">
        <f aca="false">$K$9&amp;$K$10&amp;$G28</f>
        <v>47CÇP46009</v>
      </c>
      <c r="E28" s="76" t="str">
        <f aca="false">$L$9&amp;$L$10&amp;$G28</f>
        <v>45PA46009</v>
      </c>
      <c r="F28" s="76" t="str">
        <f aca="false">$M$9&amp;$M$10&amp;$G28</f>
        <v>44DC46009</v>
      </c>
      <c r="G28" s="77" t="n">
        <v>46009</v>
      </c>
      <c r="H28" s="85" t="n">
        <v>209231.992145606</v>
      </c>
      <c r="I28" s="86" t="n">
        <v>155195.056930278</v>
      </c>
      <c r="J28" s="86" t="n">
        <v>51874.6304393364</v>
      </c>
      <c r="K28" s="86" t="n">
        <v>58848.5517154728</v>
      </c>
      <c r="L28" s="86" t="n">
        <v>24528.7205494795</v>
      </c>
      <c r="M28" s="86" t="n">
        <v>21660.9446829394</v>
      </c>
      <c r="N28" s="86" t="n">
        <v>14486.9540178174</v>
      </c>
      <c r="O28" s="86" t="n">
        <f aca="false">SUM(H28+I28+J28+K28+L28+M28+N28)</f>
        <v>535826.85048093</v>
      </c>
      <c r="P28" s="85" t="n">
        <v>210000</v>
      </c>
      <c r="Q28" s="86" t="n">
        <v>160000</v>
      </c>
      <c r="R28" s="86" t="n">
        <v>60000</v>
      </c>
      <c r="S28" s="86" t="n">
        <v>60000</v>
      </c>
      <c r="T28" s="86" t="n">
        <v>38000</v>
      </c>
      <c r="U28" s="86" t="n">
        <v>25000</v>
      </c>
      <c r="V28" s="87" t="n">
        <f aca="false">SUM(P28+Q28+R28+S28+T28+U28)</f>
        <v>553000</v>
      </c>
      <c r="W28" s="16"/>
      <c r="X28" s="16"/>
      <c r="Z28" s="16"/>
      <c r="AC28" s="16"/>
      <c r="AF28" s="16"/>
      <c r="AI28" s="16"/>
      <c r="AL28" s="16"/>
      <c r="AO28" s="16"/>
      <c r="AS28" s="82"/>
      <c r="AT28" s="29"/>
      <c r="AU28" s="29"/>
      <c r="AV28" s="29"/>
      <c r="AW28" s="29"/>
      <c r="AX28" s="29"/>
      <c r="AY28" s="29"/>
      <c r="AZ28" s="83"/>
      <c r="BA28" s="84"/>
      <c r="BB28" s="13"/>
      <c r="BC28" s="13"/>
      <c r="BD28" s="13"/>
      <c r="BE28" s="13"/>
      <c r="BF28" s="13"/>
      <c r="BG28" s="82"/>
    </row>
    <row r="29" customFormat="false" ht="14.25" hidden="false" customHeight="false" outlineLevel="0" collapsed="false">
      <c r="A29" s="76" t="str">
        <f aca="false">$H$9&amp;$H$10&amp;$G29</f>
        <v>49DIA46010</v>
      </c>
      <c r="B29" s="76" t="str">
        <f aca="false">$I$9&amp;$I$10&amp;$G29</f>
        <v>49NOITE46010</v>
      </c>
      <c r="C29" s="76" t="str">
        <f aca="false">$J$9&amp;$J$10&amp;$G29</f>
        <v>25ARA46010</v>
      </c>
      <c r="D29" s="76" t="str">
        <f aca="false">$K$9&amp;$K$10&amp;$G29</f>
        <v>47CÇP46010</v>
      </c>
      <c r="E29" s="76" t="str">
        <f aca="false">$L$9&amp;$L$10&amp;$G29</f>
        <v>45PA46010</v>
      </c>
      <c r="F29" s="76" t="str">
        <f aca="false">$M$9&amp;$M$10&amp;$G29</f>
        <v>44DC46010</v>
      </c>
      <c r="G29" s="77" t="n">
        <v>46010</v>
      </c>
      <c r="H29" s="85" t="n">
        <v>209231.992145606</v>
      </c>
      <c r="I29" s="86" t="n">
        <v>93117.0341581668</v>
      </c>
      <c r="J29" s="86" t="n">
        <v>45260.1434707715</v>
      </c>
      <c r="K29" s="86" t="n">
        <v>58848.5517154728</v>
      </c>
      <c r="L29" s="86" t="n">
        <v>30906.1878923441</v>
      </c>
      <c r="M29" s="86" t="n">
        <v>47654.0783024666</v>
      </c>
      <c r="N29" s="86" t="n">
        <v>25729.322825745</v>
      </c>
      <c r="O29" s="86" t="n">
        <f aca="false">SUM(H29+I29+J29+K29+L29+M29+N29)</f>
        <v>510747.310510573</v>
      </c>
      <c r="P29" s="85" t="n">
        <v>210000</v>
      </c>
      <c r="Q29" s="86" t="n">
        <v>100000</v>
      </c>
      <c r="R29" s="86" t="n">
        <v>50000</v>
      </c>
      <c r="S29" s="86" t="n">
        <v>60000</v>
      </c>
      <c r="T29" s="86" t="n">
        <v>38000</v>
      </c>
      <c r="U29" s="86" t="n">
        <v>50000</v>
      </c>
      <c r="V29" s="87" t="n">
        <f aca="false">SUM(P29+Q29+R29+S29+T29+U29)</f>
        <v>508000</v>
      </c>
      <c r="W29" s="16"/>
      <c r="X29" s="16"/>
      <c r="Z29" s="16"/>
      <c r="AC29" s="16"/>
      <c r="AF29" s="16"/>
      <c r="AI29" s="16"/>
      <c r="AL29" s="16"/>
      <c r="AO29" s="16"/>
      <c r="AS29" s="82"/>
    </row>
    <row r="30" customFormat="false" ht="14.25" hidden="false" customHeight="false" outlineLevel="0" collapsed="false">
      <c r="A30" s="76" t="str">
        <f aca="false">$H$9&amp;$H$10&amp;$G30</f>
        <v>49DIA46011</v>
      </c>
      <c r="B30" s="76" t="str">
        <f aca="false">$I$9&amp;$I$10&amp;$G30</f>
        <v>49NOITE46011</v>
      </c>
      <c r="C30" s="76" t="str">
        <f aca="false">$J$9&amp;$J$10&amp;$G30</f>
        <v>25ARA46011</v>
      </c>
      <c r="D30" s="76" t="str">
        <f aca="false">$K$9&amp;$K$10&amp;$G30</f>
        <v>47CÇP46011</v>
      </c>
      <c r="E30" s="76" t="str">
        <f aca="false">$L$9&amp;$L$10&amp;$G30</f>
        <v>45PA46011</v>
      </c>
      <c r="F30" s="76" t="str">
        <f aca="false">$M$9&amp;$M$10&amp;$G30</f>
        <v>44DC46011</v>
      </c>
      <c r="G30" s="77" t="n">
        <v>46011</v>
      </c>
      <c r="H30" s="91" t="n">
        <v>99537.549661502</v>
      </c>
      <c r="I30" s="92" t="n">
        <v>0</v>
      </c>
      <c r="J30" s="92" t="n">
        <v>23579.3774724256</v>
      </c>
      <c r="K30" s="92" t="n">
        <v>23539.4206861891</v>
      </c>
      <c r="L30" s="92" t="n">
        <v>21803.3071550928</v>
      </c>
      <c r="M30" s="92" t="n">
        <v>0</v>
      </c>
      <c r="N30" s="92" t="n">
        <v>11612.7</v>
      </c>
      <c r="O30" s="86" t="n">
        <f aca="false">SUM(H30+I30+J30+K30+L30+M30+N30)</f>
        <v>180072.35497521</v>
      </c>
      <c r="P30" s="91" t="n">
        <v>100000</v>
      </c>
      <c r="Q30" s="92"/>
      <c r="R30" s="92" t="n">
        <v>24000</v>
      </c>
      <c r="S30" s="92" t="n">
        <v>24000</v>
      </c>
      <c r="T30" s="86" t="n">
        <v>24000</v>
      </c>
      <c r="U30" s="92"/>
      <c r="V30" s="87" t="n">
        <f aca="false">SUM(P30+Q30+R30+S30+T30+U30)</f>
        <v>172000</v>
      </c>
      <c r="W30" s="16"/>
      <c r="X30" s="16"/>
      <c r="Z30" s="16"/>
      <c r="AC30" s="16"/>
      <c r="AF30" s="16"/>
      <c r="AI30" s="16"/>
      <c r="AL30" s="16"/>
      <c r="AO30" s="16"/>
      <c r="AS30" s="82"/>
    </row>
    <row r="31" customFormat="false" ht="14.25" hidden="false" customHeight="false" outlineLevel="0" collapsed="false">
      <c r="A31" s="76" t="str">
        <f aca="false">$H$9&amp;$H$10&amp;$G31</f>
        <v>49DIA46012</v>
      </c>
      <c r="B31" s="76" t="str">
        <f aca="false">$I$9&amp;$I$10&amp;$G31</f>
        <v>49NOITE46012</v>
      </c>
      <c r="C31" s="76" t="str">
        <f aca="false">$J$9&amp;$J$10&amp;$G31</f>
        <v>25ARA46012</v>
      </c>
      <c r="D31" s="76" t="str">
        <f aca="false">$K$9&amp;$K$10&amp;$G31</f>
        <v>47CÇP46012</v>
      </c>
      <c r="E31" s="76" t="str">
        <f aca="false">$L$9&amp;$L$10&amp;$G31</f>
        <v>45PA46012</v>
      </c>
      <c r="F31" s="76" t="str">
        <f aca="false">$M$9&amp;$M$10&amp;$G31</f>
        <v>44DC46012</v>
      </c>
      <c r="G31" s="77" t="n">
        <v>46012</v>
      </c>
      <c r="H31" s="85" t="n">
        <v>0</v>
      </c>
      <c r="I31" s="86" t="n">
        <v>0</v>
      </c>
      <c r="J31" s="86" t="n">
        <v>0</v>
      </c>
      <c r="K31" s="86" t="n">
        <v>0</v>
      </c>
      <c r="L31" s="86" t="n">
        <v>0</v>
      </c>
      <c r="M31" s="86" t="n">
        <v>0</v>
      </c>
      <c r="N31" s="86" t="n">
        <v>0</v>
      </c>
      <c r="O31" s="86"/>
      <c r="P31" s="85"/>
      <c r="Q31" s="86"/>
      <c r="R31" s="86"/>
      <c r="S31" s="86"/>
      <c r="T31" s="86"/>
      <c r="U31" s="86"/>
      <c r="V31" s="87"/>
      <c r="W31" s="16"/>
      <c r="X31" s="16"/>
      <c r="Z31" s="16"/>
      <c r="AC31" s="16"/>
      <c r="AF31" s="16"/>
      <c r="AI31" s="16"/>
      <c r="AL31" s="16"/>
      <c r="AO31" s="16"/>
      <c r="AS31" s="82"/>
    </row>
    <row r="32" customFormat="false" ht="14.25" hidden="false" customHeight="false" outlineLevel="0" collapsed="false">
      <c r="A32" s="76" t="str">
        <f aca="false">$H$9&amp;$H$10&amp;$G32</f>
        <v>49DIA46013</v>
      </c>
      <c r="B32" s="76" t="str">
        <f aca="false">$I$9&amp;$I$10&amp;$G32</f>
        <v>49NOITE46013</v>
      </c>
      <c r="C32" s="76" t="str">
        <f aca="false">$J$9&amp;$J$10&amp;$G32</f>
        <v>25ARA46013</v>
      </c>
      <c r="D32" s="76" t="str">
        <f aca="false">$K$9&amp;$K$10&amp;$G32</f>
        <v>47CÇP46013</v>
      </c>
      <c r="E32" s="76" t="str">
        <f aca="false">$L$9&amp;$L$10&amp;$G32</f>
        <v>45PA46013</v>
      </c>
      <c r="F32" s="76" t="str">
        <f aca="false">$M$9&amp;$M$10&amp;$G32</f>
        <v>44DC46013</v>
      </c>
      <c r="G32" s="77" t="n">
        <v>46013</v>
      </c>
      <c r="H32" s="85" t="n">
        <v>177847.852773718</v>
      </c>
      <c r="I32" s="86" t="n">
        <v>159966.439042514</v>
      </c>
      <c r="J32" s="86" t="n">
        <v>41592.3069109354</v>
      </c>
      <c r="K32" s="86" t="n">
        <v>47848.4415300909</v>
      </c>
      <c r="L32" s="86" t="n">
        <v>22081.1537211304</v>
      </c>
      <c r="M32" s="86" t="n">
        <v>24250.6069759514</v>
      </c>
      <c r="N32" s="86" t="n">
        <v>31078.8497763</v>
      </c>
      <c r="O32" s="86" t="n">
        <f aca="false">SUM(H32+I32+J32+K32+L32+M32+N32)</f>
        <v>504665.65073064</v>
      </c>
      <c r="P32" s="85" t="n">
        <v>180000</v>
      </c>
      <c r="Q32" s="86" t="n">
        <v>160000</v>
      </c>
      <c r="R32" s="86" t="n">
        <v>50000</v>
      </c>
      <c r="S32" s="86" t="n">
        <v>48000</v>
      </c>
      <c r="T32" s="86" t="n">
        <v>24000</v>
      </c>
      <c r="U32" s="86" t="n">
        <v>25000</v>
      </c>
      <c r="V32" s="87" t="n">
        <f aca="false">SUM(P32+Q32+R32+S32+T32+U32)</f>
        <v>487000</v>
      </c>
      <c r="W32" s="16"/>
      <c r="X32" s="16"/>
      <c r="Z32" s="16"/>
      <c r="AC32" s="16"/>
      <c r="AF32" s="16"/>
      <c r="AI32" s="16"/>
      <c r="AL32" s="16"/>
      <c r="AO32" s="16"/>
      <c r="AS32" s="82"/>
    </row>
    <row r="33" customFormat="false" ht="14.25" hidden="false" customHeight="false" outlineLevel="0" collapsed="false">
      <c r="A33" s="76" t="str">
        <f aca="false">$H$9&amp;$H$10&amp;$G33</f>
        <v>49DIA46014</v>
      </c>
      <c r="B33" s="76" t="str">
        <f aca="false">$I$9&amp;$I$10&amp;$G33</f>
        <v>49NOITE46014</v>
      </c>
      <c r="C33" s="76" t="str">
        <f aca="false">$J$9&amp;$J$10&amp;$G33</f>
        <v>25ARA46014</v>
      </c>
      <c r="D33" s="76" t="str">
        <f aca="false">$K$9&amp;$K$10&amp;$G33</f>
        <v>47CÇP46014</v>
      </c>
      <c r="E33" s="76" t="str">
        <f aca="false">$L$9&amp;$L$10&amp;$G33</f>
        <v>45PA46014</v>
      </c>
      <c r="F33" s="76" t="str">
        <f aca="false">$M$9&amp;$M$10&amp;$G33</f>
        <v>44DC46014</v>
      </c>
      <c r="G33" s="77" t="n">
        <v>46014</v>
      </c>
      <c r="H33" s="85" t="n">
        <v>215289.505989238</v>
      </c>
      <c r="I33" s="86" t="n">
        <v>167782.388832865</v>
      </c>
      <c r="J33" s="86" t="n">
        <v>56762.407651584</v>
      </c>
      <c r="K33" s="86" t="n">
        <v>58794.0166548009</v>
      </c>
      <c r="L33" s="86" t="n">
        <v>19321.0095059891</v>
      </c>
      <c r="M33" s="86" t="n">
        <v>24250.6069759514</v>
      </c>
      <c r="N33" s="86" t="n">
        <v>19034.2502379</v>
      </c>
      <c r="O33" s="86" t="n">
        <f aca="false">SUM(H33+I33+J33+K33+L33+M33+N33)</f>
        <v>561234.185848328</v>
      </c>
      <c r="P33" s="85" t="n">
        <v>220000</v>
      </c>
      <c r="Q33" s="86" t="n">
        <v>170000</v>
      </c>
      <c r="R33" s="86" t="n">
        <v>60000</v>
      </c>
      <c r="S33" s="86" t="n">
        <v>60000</v>
      </c>
      <c r="T33" s="86" t="n">
        <v>24000</v>
      </c>
      <c r="U33" s="86" t="n">
        <v>25000</v>
      </c>
      <c r="V33" s="87" t="n">
        <f aca="false">SUM(P33+Q33+R33+S33+T33+U33)</f>
        <v>559000</v>
      </c>
      <c r="W33" s="16"/>
      <c r="X33" s="16"/>
      <c r="Z33" s="16"/>
      <c r="AC33" s="16"/>
      <c r="AF33" s="16"/>
      <c r="AI33" s="16"/>
      <c r="AL33" s="16"/>
      <c r="AO33" s="16"/>
      <c r="AS33" s="82"/>
    </row>
    <row r="34" customFormat="false" ht="14.25" hidden="false" customHeight="false" outlineLevel="0" collapsed="false">
      <c r="A34" s="76" t="str">
        <f aca="false">$H$9&amp;$H$10&amp;$G34</f>
        <v>49DIA46015</v>
      </c>
      <c r="B34" s="76" t="str">
        <f aca="false">$I$9&amp;$I$10&amp;$G34</f>
        <v>49NOITE46015</v>
      </c>
      <c r="C34" s="76" t="str">
        <f aca="false">$J$9&amp;$J$10&amp;$G34</f>
        <v>25ARA46015</v>
      </c>
      <c r="D34" s="76" t="str">
        <f aca="false">$K$9&amp;$K$10&amp;$G34</f>
        <v>47CÇP46015</v>
      </c>
      <c r="E34" s="76" t="str">
        <f aca="false">$L$9&amp;$L$10&amp;$G34</f>
        <v>45PA46015</v>
      </c>
      <c r="F34" s="76" t="str">
        <f aca="false">$M$9&amp;$M$10&amp;$G34</f>
        <v>44DC46015</v>
      </c>
      <c r="G34" s="77" t="n">
        <v>46015</v>
      </c>
      <c r="H34" s="85" t="n">
        <v>182528.059425658</v>
      </c>
      <c r="I34" s="86"/>
      <c r="J34" s="86" t="n">
        <v>22182.5636858322</v>
      </c>
      <c r="K34" s="86" t="n">
        <v>24412.4701684137</v>
      </c>
      <c r="L34" s="86" t="n">
        <v>17388.9085553902</v>
      </c>
      <c r="M34" s="86" t="n">
        <v>23352.4363472125</v>
      </c>
      <c r="N34" s="86" t="n">
        <v>6342.94663449781</v>
      </c>
      <c r="O34" s="86" t="n">
        <f aca="false">SUM(H34+I34+J34+K34+L34+M34+N34)</f>
        <v>276207.384817004</v>
      </c>
      <c r="P34" s="85" t="n">
        <v>210000</v>
      </c>
      <c r="Q34" s="86"/>
      <c r="R34" s="86" t="n">
        <v>25000</v>
      </c>
      <c r="S34" s="86" t="n">
        <v>25000</v>
      </c>
      <c r="T34" s="86" t="n">
        <v>24000</v>
      </c>
      <c r="U34" s="86" t="n">
        <v>24000</v>
      </c>
      <c r="V34" s="87" t="n">
        <f aca="false">SUM(P34+Q34+R34+S34+T34+U34)</f>
        <v>308000</v>
      </c>
      <c r="W34" s="16"/>
      <c r="X34" s="16"/>
      <c r="Z34" s="16"/>
      <c r="AC34" s="16"/>
      <c r="AF34" s="16"/>
      <c r="AI34" s="16"/>
      <c r="AL34" s="16"/>
      <c r="AO34" s="16"/>
      <c r="AS34" s="82"/>
    </row>
    <row r="35" customFormat="false" ht="14.25" hidden="false" customHeight="false" outlineLevel="0" collapsed="false">
      <c r="A35" s="76" t="str">
        <f aca="false">$H$9&amp;$H$10&amp;$G35</f>
        <v>49DIA46016</v>
      </c>
      <c r="B35" s="76" t="str">
        <f aca="false">$I$9&amp;$I$10&amp;$G35</f>
        <v>49NOITE46016</v>
      </c>
      <c r="C35" s="76" t="str">
        <f aca="false">$J$9&amp;$J$10&amp;$G35</f>
        <v>25ARA46016</v>
      </c>
      <c r="D35" s="76" t="str">
        <f aca="false">$K$9&amp;$K$10&amp;$G35</f>
        <v>47CÇP46016</v>
      </c>
      <c r="E35" s="76" t="str">
        <f aca="false">$L$9&amp;$L$10&amp;$G35</f>
        <v>45PA46016</v>
      </c>
      <c r="F35" s="76" t="str">
        <f aca="false">$M$9&amp;$M$10&amp;$G35</f>
        <v>44DC46016</v>
      </c>
      <c r="G35" s="77" t="n">
        <v>46016</v>
      </c>
      <c r="H35" s="85" t="n">
        <v>0</v>
      </c>
      <c r="I35" s="86" t="n">
        <v>0</v>
      </c>
      <c r="J35" s="86" t="n">
        <v>0</v>
      </c>
      <c r="K35" s="86" t="n">
        <v>0</v>
      </c>
      <c r="L35" s="86" t="n">
        <v>0</v>
      </c>
      <c r="M35" s="86" t="n">
        <v>0</v>
      </c>
      <c r="N35" s="86" t="n">
        <v>0</v>
      </c>
      <c r="O35" s="86" t="n">
        <f aca="false">SUM(H35+I35+J35+K35+L35+M35+N35)</f>
        <v>0</v>
      </c>
      <c r="P35" s="85"/>
      <c r="Q35" s="86"/>
      <c r="R35" s="86"/>
      <c r="S35" s="86"/>
      <c r="T35" s="86"/>
      <c r="U35" s="86"/>
      <c r="V35" s="87" t="n">
        <f aca="false">SUM(P35+Q35+R35+S35+T35+U35)</f>
        <v>0</v>
      </c>
      <c r="W35" s="16"/>
      <c r="X35" s="16"/>
      <c r="Z35" s="16"/>
      <c r="AC35" s="16"/>
      <c r="AF35" s="16"/>
      <c r="AI35" s="16"/>
      <c r="AL35" s="16"/>
      <c r="AO35" s="16"/>
      <c r="AS35" s="82"/>
    </row>
    <row r="36" customFormat="false" ht="14.25" hidden="false" customHeight="false" outlineLevel="0" collapsed="false">
      <c r="A36" s="76" t="str">
        <f aca="false">$H$9&amp;$H$10&amp;$G36</f>
        <v>49DIA46017</v>
      </c>
      <c r="B36" s="76" t="str">
        <f aca="false">$I$9&amp;$I$10&amp;$G36</f>
        <v>49NOITE46017</v>
      </c>
      <c r="C36" s="76" t="str">
        <f aca="false">$J$9&amp;$J$10&amp;$G36</f>
        <v>25ARA46017</v>
      </c>
      <c r="D36" s="76" t="str">
        <f aca="false">$K$9&amp;$K$10&amp;$G36</f>
        <v>47CÇP46017</v>
      </c>
      <c r="E36" s="76" t="str">
        <f aca="false">$L$9&amp;$L$10&amp;$G36</f>
        <v>45PA46017</v>
      </c>
      <c r="F36" s="76" t="str">
        <f aca="false">$M$9&amp;$M$10&amp;$G36</f>
        <v>44DC46017</v>
      </c>
      <c r="G36" s="77" t="n">
        <v>46017</v>
      </c>
      <c r="H36" s="85" t="n">
        <v>74883.3064310392</v>
      </c>
      <c r="I36" s="86" t="n">
        <v>72948.8647099413</v>
      </c>
      <c r="J36" s="86" t="n">
        <v>22182.5636858322</v>
      </c>
      <c r="K36" s="86" t="n">
        <v>24412.4701684137</v>
      </c>
      <c r="L36" s="86" t="n">
        <v>10350.5408067799</v>
      </c>
      <c r="M36" s="86" t="n">
        <v>11676.2181736062</v>
      </c>
      <c r="N36" s="86" t="n">
        <v>17736.6267147833</v>
      </c>
      <c r="O36" s="86" t="n">
        <f aca="false">SUM(H36+I36+J36+K36+L36+M36+N36)</f>
        <v>234190.590690396</v>
      </c>
      <c r="P36" s="85" t="n">
        <v>80000</v>
      </c>
      <c r="Q36" s="86" t="n">
        <v>100000</v>
      </c>
      <c r="R36" s="86" t="n">
        <v>25000</v>
      </c>
      <c r="S36" s="86" t="n">
        <v>25000</v>
      </c>
      <c r="T36" s="86" t="n">
        <v>12000</v>
      </c>
      <c r="U36" s="86" t="n">
        <v>12000</v>
      </c>
      <c r="V36" s="87" t="n">
        <f aca="false">SUM(P36+Q36+R36+S36+T36+U36)</f>
        <v>254000</v>
      </c>
      <c r="W36" s="16"/>
      <c r="X36" s="16"/>
      <c r="Z36" s="16"/>
      <c r="AC36" s="16"/>
      <c r="AF36" s="16"/>
      <c r="AI36" s="16"/>
      <c r="AL36" s="16"/>
      <c r="AO36" s="16"/>
      <c r="AS36" s="82"/>
    </row>
    <row r="37" customFormat="false" ht="14.25" hidden="false" customHeight="false" outlineLevel="0" collapsed="false">
      <c r="A37" s="76" t="str">
        <f aca="false">$H$9&amp;$H$10&amp;$G37</f>
        <v>49DIA46018</v>
      </c>
      <c r="B37" s="76" t="str">
        <f aca="false">$I$9&amp;$I$10&amp;$G37</f>
        <v>49NOITE46018</v>
      </c>
      <c r="C37" s="76" t="str">
        <f aca="false">$J$9&amp;$J$10&amp;$G37</f>
        <v>25ARA46018</v>
      </c>
      <c r="D37" s="76" t="str">
        <f aca="false">$K$9&amp;$K$10&amp;$G37</f>
        <v>47CÇP46018</v>
      </c>
      <c r="E37" s="76" t="str">
        <f aca="false">$L$9&amp;$L$10&amp;$G37</f>
        <v>45PA46018</v>
      </c>
      <c r="F37" s="76" t="str">
        <f aca="false">$M$9&amp;$M$10&amp;$G37</f>
        <v>44DC46018</v>
      </c>
      <c r="G37" s="77" t="n">
        <v>46018</v>
      </c>
      <c r="H37" s="85" t="n">
        <v>93604.133038799</v>
      </c>
      <c r="I37" s="86" t="n">
        <v>0</v>
      </c>
      <c r="J37" s="86" t="n">
        <v>21258.2901989226</v>
      </c>
      <c r="K37" s="86" t="n">
        <v>23435.9713616772</v>
      </c>
      <c r="L37" s="86" t="n">
        <v>16560.8652908478</v>
      </c>
      <c r="M37" s="86" t="n">
        <v>0</v>
      </c>
      <c r="N37" s="86" t="n">
        <v>8445.6</v>
      </c>
      <c r="O37" s="86" t="n">
        <f aca="false">SUM(H37+I37+J37+K37+L37+M37+N37)</f>
        <v>163304.859890247</v>
      </c>
      <c r="P37" s="85" t="n">
        <v>100000</v>
      </c>
      <c r="Q37" s="86"/>
      <c r="R37" s="86" t="n">
        <v>24000</v>
      </c>
      <c r="S37" s="86" t="n">
        <v>24000</v>
      </c>
      <c r="T37" s="86" t="n">
        <v>24000</v>
      </c>
      <c r="U37" s="86"/>
      <c r="V37" s="87" t="n">
        <f aca="false">SUM(P37+Q37+R37+S37+T37+U37)</f>
        <v>172000</v>
      </c>
      <c r="X37" s="16"/>
      <c r="AS37" s="82"/>
    </row>
    <row r="38" customFormat="false" ht="15" hidden="false" customHeight="true" outlineLevel="0" collapsed="false">
      <c r="A38" s="76" t="str">
        <f aca="false">$H$9&amp;$H$10&amp;$G38</f>
        <v>49DIA46019</v>
      </c>
      <c r="B38" s="76" t="str">
        <f aca="false">$I$9&amp;$I$10&amp;$G38</f>
        <v>49NOITE46019</v>
      </c>
      <c r="C38" s="76" t="str">
        <f aca="false">$J$9&amp;$J$10&amp;$G38</f>
        <v>25ARA46019</v>
      </c>
      <c r="D38" s="76" t="str">
        <f aca="false">$K$9&amp;$K$10&amp;$G38</f>
        <v>47CÇP46019</v>
      </c>
      <c r="E38" s="76" t="str">
        <f aca="false">$L$9&amp;$L$10&amp;$G38</f>
        <v>45PA46019</v>
      </c>
      <c r="F38" s="76" t="str">
        <f aca="false">$M$9&amp;$M$10&amp;$G38</f>
        <v>44DC46019</v>
      </c>
      <c r="G38" s="77" t="n">
        <v>46019</v>
      </c>
      <c r="H38" s="88" t="n">
        <v>0</v>
      </c>
      <c r="I38" s="89" t="n">
        <v>0</v>
      </c>
      <c r="J38" s="89" t="n">
        <v>0</v>
      </c>
      <c r="K38" s="89" t="n">
        <v>0</v>
      </c>
      <c r="L38" s="89" t="n">
        <v>0</v>
      </c>
      <c r="M38" s="89" t="n">
        <v>0</v>
      </c>
      <c r="N38" s="89" t="n">
        <v>0</v>
      </c>
      <c r="O38" s="86"/>
      <c r="P38" s="88"/>
      <c r="Q38" s="89"/>
      <c r="R38" s="89"/>
      <c r="S38" s="89"/>
      <c r="T38" s="89"/>
      <c r="U38" s="89"/>
      <c r="V38" s="87"/>
      <c r="X38" s="16"/>
      <c r="AS38" s="82"/>
    </row>
    <row r="39" customFormat="false" ht="13.5" hidden="false" customHeight="true" outlineLevel="0" collapsed="false">
      <c r="A39" s="76" t="str">
        <f aca="false">$H$9&amp;$H$10&amp;$G39</f>
        <v>49DIA46020</v>
      </c>
      <c r="B39" s="76" t="str">
        <f aca="false">$I$9&amp;$I$10&amp;$G39</f>
        <v>49NOITE46020</v>
      </c>
      <c r="C39" s="76" t="str">
        <f aca="false">$J$9&amp;$J$10&amp;$G39</f>
        <v>25ARA46020</v>
      </c>
      <c r="D39" s="76" t="str">
        <f aca="false">$K$9&amp;$K$10&amp;$G39</f>
        <v>47CÇP46020</v>
      </c>
      <c r="E39" s="76" t="str">
        <f aca="false">$L$9&amp;$L$10&amp;$G39</f>
        <v>45PA46020</v>
      </c>
      <c r="F39" s="76" t="str">
        <f aca="false">$M$9&amp;$M$10&amp;$G39</f>
        <v>44DC46020</v>
      </c>
      <c r="G39" s="77" t="n">
        <v>46020</v>
      </c>
      <c r="H39" s="85" t="n">
        <v>177111.923104007</v>
      </c>
      <c r="I39" s="86" t="n">
        <v>158650.576752267</v>
      </c>
      <c r="J39" s="86" t="n">
        <v>49951.5151060129</v>
      </c>
      <c r="K39" s="86" t="n">
        <v>47954.499130687</v>
      </c>
      <c r="L39" s="86" t="n">
        <v>33731.9825740268</v>
      </c>
      <c r="M39" s="86" t="n">
        <v>20757.3962458379</v>
      </c>
      <c r="N39" s="86" t="n">
        <v>32893.7373457811</v>
      </c>
      <c r="O39" s="86" t="n">
        <f aca="false">SUM(H39+I39+J39+K39+L39+M39+N39)</f>
        <v>521051.63025862</v>
      </c>
      <c r="P39" s="85" t="n">
        <v>180000</v>
      </c>
      <c r="Q39" s="86" t="n">
        <v>160000</v>
      </c>
      <c r="R39" s="86" t="n">
        <v>50000</v>
      </c>
      <c r="S39" s="86" t="n">
        <v>48000</v>
      </c>
      <c r="T39" s="86" t="n">
        <v>38000</v>
      </c>
      <c r="U39" s="86" t="n">
        <v>25000</v>
      </c>
      <c r="V39" s="87" t="n">
        <f aca="false">SUM(P39+Q39+R39+S39+T39+U39)</f>
        <v>501000</v>
      </c>
      <c r="X39" s="16"/>
      <c r="AS39" s="82"/>
    </row>
    <row r="40" customFormat="false" ht="14.25" hidden="false" customHeight="false" outlineLevel="0" collapsed="false">
      <c r="A40" s="76" t="str">
        <f aca="false">$H$9&amp;$H$10&amp;$G40</f>
        <v>49DIA46021</v>
      </c>
      <c r="B40" s="76" t="str">
        <f aca="false">$I$9&amp;$I$10&amp;$G40</f>
        <v>49NOITE46021</v>
      </c>
      <c r="C40" s="76" t="str">
        <f aca="false">$J$9&amp;$J$10&amp;$G40</f>
        <v>25ARA46021</v>
      </c>
      <c r="D40" s="76" t="str">
        <f aca="false">$K$9&amp;$K$10&amp;$G40</f>
        <v>47CÇP46021</v>
      </c>
      <c r="E40" s="76" t="str">
        <f aca="false">$L$9&amp;$L$10&amp;$G40</f>
        <v>45PA46021</v>
      </c>
      <c r="F40" s="76" t="str">
        <f aca="false">$M$9&amp;$M$10&amp;$G40</f>
        <v>44DC46021</v>
      </c>
      <c r="G40" s="77" t="n">
        <v>46021</v>
      </c>
      <c r="H40" s="85" t="n">
        <v>201045.96676671</v>
      </c>
      <c r="I40" s="86" t="n">
        <v>168089.284454644</v>
      </c>
      <c r="J40" s="86" t="n">
        <v>59557.5757033231</v>
      </c>
      <c r="K40" s="86" t="n">
        <v>58944.0718481361</v>
      </c>
      <c r="L40" s="86" t="n">
        <v>34774.6074899513</v>
      </c>
      <c r="M40" s="86" t="n">
        <v>20534.1984367429</v>
      </c>
      <c r="N40" s="86" t="n">
        <v>16199.4597721265</v>
      </c>
      <c r="O40" s="86" t="n">
        <f aca="false">SUM(H40+I40+J40+K40+L40+M40+N40)</f>
        <v>559145.164471634</v>
      </c>
      <c r="P40" s="85" t="n">
        <v>220000</v>
      </c>
      <c r="Q40" s="86" t="n">
        <v>170000</v>
      </c>
      <c r="R40" s="86" t="n">
        <v>60000</v>
      </c>
      <c r="S40" s="86" t="n">
        <v>60000</v>
      </c>
      <c r="T40" s="86" t="n">
        <v>38000</v>
      </c>
      <c r="U40" s="86" t="n">
        <v>25000</v>
      </c>
      <c r="V40" s="87" t="n">
        <f aca="false">SUM(P40+Q40+R40+S40+T40+U40)</f>
        <v>573000</v>
      </c>
      <c r="AS40" s="82"/>
    </row>
    <row r="41" customFormat="false" ht="14.25" hidden="false" customHeight="false" outlineLevel="0" collapsed="false">
      <c r="A41" s="76" t="str">
        <f aca="false">$H$9&amp;$H$10&amp;$G41</f>
        <v>49DIA46022</v>
      </c>
      <c r="B41" s="76" t="str">
        <f aca="false">$I$9&amp;$I$10&amp;$G41</f>
        <v>49NOITE46022</v>
      </c>
      <c r="C41" s="76" t="str">
        <f aca="false">$J$9&amp;$J$10&amp;$G41</f>
        <v>25ARA46022</v>
      </c>
      <c r="D41" s="76" t="str">
        <f aca="false">$K$9&amp;$K$10&amp;$G41</f>
        <v>47CÇP46022</v>
      </c>
      <c r="E41" s="76" t="str">
        <f aca="false">$L$9&amp;$L$10&amp;$G41</f>
        <v>45PA46022</v>
      </c>
      <c r="F41" s="76" t="str">
        <f aca="false">$M$9&amp;$M$10&amp;$G41</f>
        <v>44DC46022</v>
      </c>
      <c r="G41" s="77" t="n">
        <v>46022</v>
      </c>
      <c r="H41" s="93" t="n">
        <v>157964.688173844</v>
      </c>
      <c r="I41" s="94" t="n">
        <v>0</v>
      </c>
      <c r="J41" s="94" t="n">
        <v>24207.2727052217</v>
      </c>
      <c r="K41" s="94" t="n">
        <v>24976.3016305661</v>
      </c>
      <c r="L41" s="94" t="n">
        <v>10732.9035462813</v>
      </c>
      <c r="M41" s="94" t="n">
        <v>8927.91236380124</v>
      </c>
      <c r="N41" s="94" t="n">
        <v>6273.92617517925</v>
      </c>
      <c r="O41" s="94" t="n">
        <f aca="false">SUM(H41+I41+J41+K41+L41+M41+N41)</f>
        <v>233083.004594893</v>
      </c>
      <c r="P41" s="93" t="n">
        <v>200000</v>
      </c>
      <c r="Q41" s="94"/>
      <c r="R41" s="94" t="n">
        <v>25000</v>
      </c>
      <c r="S41" s="94" t="n">
        <v>25000</v>
      </c>
      <c r="T41" s="94" t="n">
        <v>12000</v>
      </c>
      <c r="U41" s="94" t="n">
        <v>12000</v>
      </c>
      <c r="V41" s="95" t="n">
        <f aca="false">SUM(P41+Q41+R41+S41+T41+U41)</f>
        <v>274000</v>
      </c>
    </row>
    <row r="42" customFormat="false" ht="14.25" hidden="false" customHeight="false" outlineLevel="0" collapsed="false">
      <c r="P42" s="86"/>
      <c r="Q42" s="86"/>
      <c r="R42" s="86"/>
      <c r="S42" s="86"/>
      <c r="T42" s="86"/>
      <c r="U42" s="86"/>
      <c r="V42" s="86"/>
      <c r="W42" s="86"/>
      <c r="X42" s="86"/>
      <c r="Y42" s="86"/>
    </row>
    <row r="63" customFormat="false" ht="14.25" hidden="false" customHeight="false" outlineLevel="0" collapsed="false">
      <c r="M63" s="96"/>
    </row>
    <row r="1048576" customFormat="false" ht="14.25" hidden="false" customHeight="false" outlineLevel="0" collapsed="false">
      <c r="V1048576" s="82" t="n">
        <f aca="false">SUM(P1048576+Q1048576+R1048576+S1048576+T1048576+U1048576)</f>
        <v>0</v>
      </c>
    </row>
  </sheetData>
  <mergeCells count="8">
    <mergeCell ref="H4:O4"/>
    <mergeCell ref="P4:V4"/>
    <mergeCell ref="W4:AS4"/>
    <mergeCell ref="H8:O8"/>
    <mergeCell ref="P8:V8"/>
    <mergeCell ref="W8:AS8"/>
    <mergeCell ref="AT8:AZ8"/>
    <mergeCell ref="BA8:BG8"/>
  </mergeCells>
  <conditionalFormatting sqref="Q42 S42 U42 W42 Y42">
    <cfRule type="cellIs" priority="2" operator="lessThan" aboveAverage="0" equalAverage="0" bottom="0" percent="0" rank="0" text="" dxfId="0">
      <formula>P42</formula>
    </cfRule>
  </conditionalFormatting>
  <conditionalFormatting sqref="AT11:AZ28">
    <cfRule type="cellIs" priority="3" operator="lessThan" aboveAverage="0" equalAverage="0" bottom="0" percent="0" rank="0" text="" dxfId="1">
      <formula>0</formula>
    </cfRule>
    <cfRule type="cellIs" priority="4" operator="between" aboveAverage="0" equalAverage="0" bottom="0" percent="0" rank="0" text="" dxfId="2">
      <formula>0</formula>
      <formula>0.0598</formula>
    </cfRule>
    <cfRule type="cellIs" priority="5" operator="greaterThan" aboveAverage="0" equalAverage="0" bottom="0" percent="0" rank="0" text="" dxfId="3">
      <formula>0.0599</formula>
    </cfRule>
  </conditionalFormatting>
  <conditionalFormatting sqref="Y6 AQ11:AQ40 Y11:Y40 AB6 AB11:AB40 AE6 AE11:AE40 AH6 AH11:AH40 AK6 AK11:AK40 AN6 AN11:AN40 AQ6 AS11:AS40">
    <cfRule type="cellIs" priority="6" operator="between" aboveAverage="0" equalAverage="0" bottom="0" percent="0" rank="0" text="" dxfId="4">
      <formula>0</formula>
      <formula>-10000</formula>
    </cfRule>
    <cfRule type="cellIs" priority="7" operator="lessThan" aboveAverage="0" equalAverage="0" bottom="0" percent="0" rank="0" text="" dxfId="5">
      <formula>-1000</formula>
    </cfRule>
    <cfRule type="cellIs" priority="8" operator="greaterThan" aboveAverage="0" equalAverage="0" bottom="0" percent="0" rank="0" text="" dxfId="6">
      <formula>0</formula>
    </cfRule>
  </conditionalFormatting>
  <conditionalFormatting sqref="AS6">
    <cfRule type="cellIs" priority="9" operator="between" aboveAverage="0" equalAverage="0" bottom="0" percent="0" rank="0" text="" dxfId="7">
      <formula>0</formula>
      <formula>-10000</formula>
    </cfRule>
    <cfRule type="cellIs" priority="10" operator="lessThan" aboveAverage="0" equalAverage="0" bottom="0" percent="0" rank="0" text="" dxfId="8">
      <formula>-10000</formula>
    </cfRule>
    <cfRule type="cellIs" priority="11" operator="greaterThan" aboveAverage="0" equalAverage="0" bottom="0" percent="0" rank="0" text="" dxfId="9">
      <formula>0</formula>
    </cfRule>
  </conditionalFormatting>
  <dataValidations count="1">
    <dataValidation allowBlank="true" errorStyle="stop" operator="between" showDropDown="false" showErrorMessage="true" showInputMessage="true" sqref="X10:X39 AA11:AA37 AD11:AD39 AG11:AG14 AJ11:AJ14 AM11:AM39 AG16:AG39 AJ16:AJ39" type="list">
      <formula1>'Base - motivo bloq'!$A$1:$A$2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1:N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4.18"/>
    <col collapsed="false" customWidth="true" hidden="false" outlineLevel="0" max="2" min="2" style="1" width="13"/>
    <col collapsed="false" customWidth="true" hidden="false" outlineLevel="0" max="3" min="3" style="1" width="11.54"/>
    <col collapsed="false" customWidth="true" hidden="false" outlineLevel="0" max="4" min="4" style="1" width="13.27"/>
    <col collapsed="false" customWidth="true" hidden="false" outlineLevel="0" max="5" min="5" style="1" width="17.18"/>
    <col collapsed="false" customWidth="true" hidden="false" outlineLevel="0" max="6" min="6" style="11" width="11.27"/>
    <col collapsed="false" customWidth="true" hidden="false" outlineLevel="0" max="8" min="8" style="0" width="15.39"/>
    <col collapsed="false" customWidth="true" hidden="false" outlineLevel="0" max="9" min="9" style="0" width="12.47"/>
    <col collapsed="false" customWidth="true" hidden="false" outlineLevel="0" max="10" min="10" style="0" width="21.04"/>
    <col collapsed="false" customWidth="true" hidden="false" outlineLevel="0" max="11" min="11" style="0" width="17.77"/>
    <col collapsed="false" customWidth="true" hidden="false" outlineLevel="0" max="12" min="12" style="0" width="16.04"/>
    <col collapsed="false" customWidth="true" hidden="false" outlineLevel="0" max="14" min="14" style="0" width="9.76"/>
  </cols>
  <sheetData>
    <row r="1" customFormat="false" ht="14.25" hidden="false" customHeight="false" outlineLevel="0" collapsed="false">
      <c r="D1" s="97"/>
      <c r="E1" s="97"/>
    </row>
    <row r="2" customFormat="false" ht="14.25" hidden="false" customHeight="false" outlineLevel="0" collapsed="false">
      <c r="A2" s="98" t="s">
        <v>41</v>
      </c>
      <c r="B2" s="98" t="s">
        <v>42</v>
      </c>
      <c r="C2" s="98" t="s">
        <v>43</v>
      </c>
      <c r="D2" s="98" t="s">
        <v>44</v>
      </c>
      <c r="E2" s="98" t="s">
        <v>45</v>
      </c>
      <c r="F2" s="99" t="s">
        <v>46</v>
      </c>
      <c r="G2" s="100" t="s">
        <v>47</v>
      </c>
      <c r="H2" s="100" t="s">
        <v>48</v>
      </c>
      <c r="I2" s="100" t="s">
        <v>49</v>
      </c>
      <c r="J2" s="100" t="s">
        <v>50</v>
      </c>
      <c r="K2" s="100" t="s">
        <v>51</v>
      </c>
      <c r="L2" s="100" t="s">
        <v>52</v>
      </c>
      <c r="M2" s="100" t="s">
        <v>53</v>
      </c>
      <c r="N2" s="100" t="s">
        <v>54</v>
      </c>
    </row>
    <row r="3" customFormat="false" ht="14.25" hidden="false" customHeight="false" outlineLevel="0" collapsed="false">
      <c r="A3" s="101" t="n">
        <v>25</v>
      </c>
      <c r="B3" s="101" t="s">
        <v>1</v>
      </c>
      <c r="C3" s="102" t="n">
        <v>45992</v>
      </c>
      <c r="D3" s="103" t="n">
        <v>25771.0437415737</v>
      </c>
      <c r="E3" s="1" t="n">
        <v>38000</v>
      </c>
    </row>
    <row r="4" customFormat="false" ht="14.25" hidden="false" customHeight="false" outlineLevel="0" collapsed="false">
      <c r="A4" s="104" t="n">
        <v>44</v>
      </c>
      <c r="B4" s="101" t="s">
        <v>1</v>
      </c>
      <c r="C4" s="102" t="n">
        <f aca="false">C3</f>
        <v>45992</v>
      </c>
      <c r="D4" s="103" t="n">
        <v>22296.9091079671</v>
      </c>
      <c r="E4" s="1" t="n">
        <v>25000</v>
      </c>
    </row>
    <row r="5" customFormat="false" ht="14.25" hidden="false" customHeight="false" outlineLevel="0" collapsed="false">
      <c r="A5" s="1" t="n">
        <v>45</v>
      </c>
      <c r="B5" s="101" t="s">
        <v>1</v>
      </c>
      <c r="C5" s="7" t="n">
        <f aca="false">C4</f>
        <v>45992</v>
      </c>
      <c r="D5" s="103" t="n">
        <v>19176.1266765639</v>
      </c>
      <c r="E5" s="1" t="n">
        <v>24000</v>
      </c>
    </row>
    <row r="6" customFormat="false" ht="14.25" hidden="false" customHeight="false" outlineLevel="0" collapsed="false">
      <c r="A6" s="1" t="n">
        <v>47</v>
      </c>
      <c r="B6" s="101" t="s">
        <v>1</v>
      </c>
      <c r="C6" s="7" t="n">
        <f aca="false">C5</f>
        <v>45992</v>
      </c>
      <c r="D6" s="103" t="n">
        <v>47996.4337368659</v>
      </c>
      <c r="E6" s="1" t="n">
        <v>48000</v>
      </c>
    </row>
    <row r="7" customFormat="false" ht="14.25" hidden="false" customHeight="false" outlineLevel="0" collapsed="false">
      <c r="A7" s="1" t="n">
        <v>49</v>
      </c>
      <c r="B7" s="101" t="s">
        <v>1</v>
      </c>
      <c r="C7" s="7" t="n">
        <f aca="false">C6</f>
        <v>45992</v>
      </c>
      <c r="D7" s="103" t="n">
        <v>167164.913450245</v>
      </c>
      <c r="E7" s="1" t="n">
        <v>180000</v>
      </c>
    </row>
    <row r="8" customFormat="false" ht="15" hidden="false" customHeight="true" outlineLevel="0" collapsed="false">
      <c r="A8" s="1" t="n">
        <v>49</v>
      </c>
      <c r="B8" s="1" t="s">
        <v>2</v>
      </c>
      <c r="C8" s="7" t="n">
        <f aca="false">C7</f>
        <v>45992</v>
      </c>
      <c r="D8" s="103" t="n">
        <v>155313.657952247</v>
      </c>
      <c r="E8" s="1" t="n">
        <v>160000</v>
      </c>
    </row>
    <row r="9" customFormat="false" ht="14.25" hidden="false" customHeight="false" outlineLevel="0" collapsed="false">
      <c r="A9" s="1" t="n">
        <v>25</v>
      </c>
      <c r="B9" s="101" t="s">
        <v>1</v>
      </c>
      <c r="C9" s="7" t="n">
        <v>45993</v>
      </c>
      <c r="D9" s="103" t="n">
        <v>51957.5756213437</v>
      </c>
      <c r="E9" s="1" t="n">
        <v>60000</v>
      </c>
    </row>
    <row r="10" customFormat="false" ht="14.25" hidden="false" customHeight="false" outlineLevel="0" collapsed="false">
      <c r="A10" s="1" t="n">
        <v>44</v>
      </c>
      <c r="B10" s="101" t="s">
        <v>1</v>
      </c>
      <c r="C10" s="7" t="n">
        <f aca="false">C9</f>
        <v>45993</v>
      </c>
      <c r="D10" s="103" t="n">
        <v>24720.9264771652</v>
      </c>
      <c r="E10" s="1" t="n">
        <v>25000</v>
      </c>
    </row>
    <row r="11" customFormat="false" ht="14.25" hidden="false" customHeight="false" outlineLevel="0" collapsed="false">
      <c r="A11" s="1" t="n">
        <v>45</v>
      </c>
      <c r="B11" s="101" t="s">
        <v>1</v>
      </c>
      <c r="C11" s="7" t="n">
        <f aca="false">C10</f>
        <v>45993</v>
      </c>
      <c r="D11" s="103" t="n">
        <v>23970.1583457049</v>
      </c>
      <c r="E11" s="1" t="n">
        <v>25000</v>
      </c>
    </row>
    <row r="12" customFormat="false" ht="14.25" hidden="false" customHeight="false" outlineLevel="0" collapsed="false">
      <c r="A12" s="1" t="n">
        <v>47</v>
      </c>
      <c r="B12" s="101" t="s">
        <v>1</v>
      </c>
      <c r="C12" s="7" t="n">
        <f aca="false">C11</f>
        <v>45993</v>
      </c>
      <c r="D12" s="103" t="n">
        <v>55995.8393596769</v>
      </c>
      <c r="E12" s="1" t="n">
        <v>60000</v>
      </c>
    </row>
    <row r="13" customFormat="false" ht="14.25" hidden="false" customHeight="false" outlineLevel="0" collapsed="false">
      <c r="A13" s="1" t="n">
        <v>49</v>
      </c>
      <c r="B13" s="101" t="s">
        <v>1</v>
      </c>
      <c r="C13" s="7" t="n">
        <f aca="false">C12</f>
        <v>45993</v>
      </c>
      <c r="D13" s="103" t="n">
        <v>215299.980781412</v>
      </c>
      <c r="E13" s="1" t="n">
        <v>220000</v>
      </c>
    </row>
    <row r="14" customFormat="false" ht="14.25" hidden="false" customHeight="false" outlineLevel="0" collapsed="false">
      <c r="A14" s="1" t="n">
        <v>49</v>
      </c>
      <c r="B14" s="1" t="s">
        <v>2</v>
      </c>
      <c r="C14" s="7" t="n">
        <f aca="false">C13</f>
        <v>45993</v>
      </c>
      <c r="D14" s="103" t="n">
        <v>165553.948259985</v>
      </c>
      <c r="E14" s="1" t="n">
        <v>170000</v>
      </c>
    </row>
    <row r="15" customFormat="false" ht="14.25" hidden="false" customHeight="false" outlineLevel="0" collapsed="false">
      <c r="A15" s="1" t="n">
        <v>25</v>
      </c>
      <c r="B15" s="101" t="s">
        <v>1</v>
      </c>
      <c r="C15" s="7" t="n">
        <v>45994</v>
      </c>
      <c r="D15" s="103" t="n">
        <v>59059.0910399979</v>
      </c>
      <c r="E15" s="1" t="n">
        <v>60000</v>
      </c>
    </row>
    <row r="16" customFormat="false" ht="14.25" hidden="false" customHeight="false" outlineLevel="0" collapsed="false">
      <c r="A16" s="1" t="n">
        <v>44</v>
      </c>
      <c r="B16" s="101" t="s">
        <v>1</v>
      </c>
      <c r="C16" s="7" t="n">
        <f aca="false">C15</f>
        <v>45994</v>
      </c>
      <c r="D16" s="103" t="n">
        <v>46461.3988803295</v>
      </c>
      <c r="E16" s="1" t="n">
        <v>50000</v>
      </c>
    </row>
    <row r="17" customFormat="false" ht="14.25" hidden="false" customHeight="false" outlineLevel="0" collapsed="false">
      <c r="A17" s="1" t="n">
        <v>45</v>
      </c>
      <c r="B17" s="101" t="s">
        <v>1</v>
      </c>
      <c r="C17" s="7" t="n">
        <f aca="false">C16</f>
        <v>45994</v>
      </c>
      <c r="D17" s="103" t="n">
        <v>33558.2216839868</v>
      </c>
      <c r="E17" s="1" t="n">
        <v>38000</v>
      </c>
    </row>
    <row r="18" customFormat="false" ht="14.25" hidden="false" customHeight="false" outlineLevel="0" collapsed="false">
      <c r="A18" s="1" t="n">
        <v>47</v>
      </c>
      <c r="B18" s="101" t="s">
        <v>1</v>
      </c>
      <c r="C18" s="7" t="n">
        <f aca="false">C17</f>
        <v>45994</v>
      </c>
      <c r="D18" s="103" t="n">
        <v>58126.6810324531</v>
      </c>
      <c r="E18" s="1" t="n">
        <v>60000</v>
      </c>
    </row>
    <row r="19" customFormat="false" ht="14.25" hidden="false" customHeight="false" outlineLevel="0" collapsed="false">
      <c r="A19" s="1" t="n">
        <v>49</v>
      </c>
      <c r="B19" s="101" t="s">
        <v>1</v>
      </c>
      <c r="C19" s="7" t="n">
        <f aca="false">C18</f>
        <v>45994</v>
      </c>
      <c r="D19" s="103" t="n">
        <v>215299.980781412</v>
      </c>
      <c r="E19" s="1" t="n">
        <v>220000</v>
      </c>
    </row>
    <row r="20" customFormat="false" ht="14.25" hidden="false" customHeight="false" outlineLevel="0" collapsed="false">
      <c r="A20" s="1" t="n">
        <v>49</v>
      </c>
      <c r="B20" s="1" t="s">
        <v>2</v>
      </c>
      <c r="C20" s="7" t="n">
        <f aca="false">C19</f>
        <v>45994</v>
      </c>
      <c r="D20" s="103" t="n">
        <v>150120.523164701</v>
      </c>
      <c r="E20" s="1" t="n">
        <v>170000</v>
      </c>
    </row>
    <row r="21" customFormat="false" ht="14.25" hidden="false" customHeight="false" outlineLevel="0" collapsed="false">
      <c r="A21" s="1" t="n">
        <v>25</v>
      </c>
      <c r="B21" s="101" t="s">
        <v>1</v>
      </c>
      <c r="C21" s="7" t="n">
        <v>45995</v>
      </c>
      <c r="D21" s="103" t="n">
        <v>49482.2854395416</v>
      </c>
      <c r="E21" s="1" t="n">
        <v>60000</v>
      </c>
    </row>
    <row r="22" customFormat="false" ht="14.25" hidden="false" customHeight="false" outlineLevel="0" collapsed="false">
      <c r="A22" s="1" t="n">
        <v>44</v>
      </c>
      <c r="B22" s="101" t="s">
        <v>1</v>
      </c>
      <c r="C22" s="7" t="n">
        <f aca="false">C21</f>
        <v>45995</v>
      </c>
      <c r="D22" s="103" t="n">
        <v>17991.4534552884</v>
      </c>
      <c r="E22" s="1" t="n">
        <v>25000</v>
      </c>
    </row>
    <row r="23" customFormat="false" ht="14.25" hidden="false" customHeight="false" outlineLevel="0" collapsed="false">
      <c r="A23" s="1" t="n">
        <v>45</v>
      </c>
      <c r="B23" s="101" t="s">
        <v>1</v>
      </c>
      <c r="C23" s="7" t="n">
        <f aca="false">C22</f>
        <v>45995</v>
      </c>
      <c r="D23" s="103" t="n">
        <v>28330.8095519555</v>
      </c>
      <c r="E23" s="1" t="n">
        <v>38000</v>
      </c>
    </row>
    <row r="24" customFormat="false" ht="14.25" hidden="false" customHeight="false" outlineLevel="0" collapsed="false">
      <c r="A24" s="1" t="n">
        <v>47</v>
      </c>
      <c r="B24" s="101" t="s">
        <v>1</v>
      </c>
      <c r="C24" s="7" t="n">
        <f aca="false">C23</f>
        <v>45995</v>
      </c>
      <c r="D24" s="103" t="n">
        <v>57995.6907653796</v>
      </c>
      <c r="E24" s="1" t="n">
        <v>60000</v>
      </c>
    </row>
    <row r="25" customFormat="false" ht="14.25" hidden="false" customHeight="false" outlineLevel="0" collapsed="false">
      <c r="A25" s="1" t="n">
        <v>49</v>
      </c>
      <c r="B25" s="101" t="s">
        <v>1</v>
      </c>
      <c r="C25" s="7" t="n">
        <f aca="false">C24</f>
        <v>45995</v>
      </c>
      <c r="D25" s="103" t="n">
        <v>204522.964999228</v>
      </c>
      <c r="E25" s="1" t="n">
        <v>210000</v>
      </c>
    </row>
    <row r="26" customFormat="false" ht="14.25" hidden="false" customHeight="false" outlineLevel="0" collapsed="false">
      <c r="A26" s="1" t="n">
        <v>49</v>
      </c>
      <c r="B26" s="1" t="s">
        <v>2</v>
      </c>
      <c r="C26" s="7" t="n">
        <f aca="false">C25</f>
        <v>45995</v>
      </c>
      <c r="D26" s="103" t="n">
        <v>139767.383636101</v>
      </c>
      <c r="E26" s="1" t="n">
        <v>160000</v>
      </c>
    </row>
    <row r="27" customFormat="false" ht="14.25" hidden="false" customHeight="false" outlineLevel="0" collapsed="false">
      <c r="A27" s="1" t="n">
        <v>25</v>
      </c>
      <c r="B27" s="101" t="s">
        <v>1</v>
      </c>
      <c r="C27" s="7" t="n">
        <v>45996</v>
      </c>
      <c r="D27" s="103" t="n">
        <v>46302.4292875432</v>
      </c>
      <c r="E27" s="1" t="n">
        <v>50000</v>
      </c>
    </row>
    <row r="28" customFormat="false" ht="14.25" hidden="false" customHeight="false" outlineLevel="0" collapsed="false">
      <c r="A28" s="1" t="n">
        <v>44</v>
      </c>
      <c r="B28" s="101" t="s">
        <v>1</v>
      </c>
      <c r="C28" s="7" t="n">
        <f aca="false">C27</f>
        <v>45996</v>
      </c>
      <c r="D28" s="103" t="n">
        <v>42737.9632292262</v>
      </c>
      <c r="E28" s="1" t="n">
        <v>50000</v>
      </c>
    </row>
    <row r="29" customFormat="false" ht="14.25" hidden="false" customHeight="false" outlineLevel="0" collapsed="false">
      <c r="A29" s="1" t="n">
        <v>45</v>
      </c>
      <c r="B29" s="101" t="s">
        <v>1</v>
      </c>
      <c r="C29" s="7" t="n">
        <f aca="false">C28</f>
        <v>45996</v>
      </c>
      <c r="D29" s="103" t="n">
        <v>22195.4078217889</v>
      </c>
      <c r="E29" s="1" t="n">
        <v>25000</v>
      </c>
    </row>
    <row r="30" customFormat="false" ht="14.25" hidden="false" customHeight="false" outlineLevel="0" collapsed="false">
      <c r="A30" s="1" t="n">
        <v>47</v>
      </c>
      <c r="B30" s="101" t="s">
        <v>1</v>
      </c>
      <c r="C30" s="7" t="n">
        <f aca="false">C29</f>
        <v>45996</v>
      </c>
      <c r="D30" s="103" t="n">
        <v>57995.6907653796</v>
      </c>
      <c r="E30" s="1" t="n">
        <v>60000</v>
      </c>
    </row>
    <row r="31" customFormat="false" ht="14.25" hidden="false" customHeight="false" outlineLevel="0" collapsed="false">
      <c r="A31" s="1" t="n">
        <v>49</v>
      </c>
      <c r="B31" s="101" t="s">
        <v>1</v>
      </c>
      <c r="C31" s="7" t="n">
        <f aca="false">C30</f>
        <v>45996</v>
      </c>
      <c r="D31" s="103" t="n">
        <v>204681.18545022</v>
      </c>
      <c r="E31" s="1" t="n">
        <v>210000</v>
      </c>
    </row>
    <row r="32" customFormat="false" ht="14.25" hidden="false" customHeight="false" outlineLevel="0" collapsed="false">
      <c r="A32" s="1" t="n">
        <v>49</v>
      </c>
      <c r="B32" s="1" t="s">
        <v>2</v>
      </c>
      <c r="C32" s="7" t="n">
        <f aca="false">C31</f>
        <v>45996</v>
      </c>
      <c r="D32" s="103" t="n">
        <v>51765.6976430003</v>
      </c>
      <c r="E32" s="1" t="n">
        <v>100000</v>
      </c>
    </row>
    <row r="33" customFormat="false" ht="14.25" hidden="false" customHeight="false" outlineLevel="0" collapsed="false">
      <c r="A33" s="1" t="n">
        <v>25</v>
      </c>
      <c r="B33" s="101" t="s">
        <v>1</v>
      </c>
      <c r="C33" s="7" t="n">
        <v>45997</v>
      </c>
      <c r="D33" s="103" t="n">
        <v>0</v>
      </c>
      <c r="E33" s="1" t="n">
        <v>24000</v>
      </c>
    </row>
    <row r="34" customFormat="false" ht="14.25" hidden="false" customHeight="false" outlineLevel="0" collapsed="false">
      <c r="A34" s="1" t="n">
        <v>44</v>
      </c>
      <c r="B34" s="101" t="s">
        <v>1</v>
      </c>
      <c r="C34" s="7" t="n">
        <f aca="false">C33</f>
        <v>45997</v>
      </c>
      <c r="D34" s="103" t="n">
        <v>0</v>
      </c>
      <c r="E34" s="1" t="n">
        <v>0</v>
      </c>
    </row>
    <row r="35" customFormat="false" ht="14.25" hidden="false" customHeight="false" outlineLevel="0" collapsed="false">
      <c r="A35" s="1" t="n">
        <v>45</v>
      </c>
      <c r="B35" s="101" t="s">
        <v>1</v>
      </c>
      <c r="C35" s="7" t="n">
        <f aca="false">C34</f>
        <v>45997</v>
      </c>
      <c r="D35" s="103" t="n">
        <v>0</v>
      </c>
      <c r="E35" s="1" t="n">
        <v>0</v>
      </c>
    </row>
    <row r="36" customFormat="false" ht="14.25" hidden="false" customHeight="false" outlineLevel="0" collapsed="false">
      <c r="A36" s="1" t="n">
        <v>47</v>
      </c>
      <c r="B36" s="101" t="s">
        <v>1</v>
      </c>
      <c r="C36" s="7" t="n">
        <f aca="false">C35</f>
        <v>45997</v>
      </c>
      <c r="D36" s="103" t="n">
        <v>22915.2973322449</v>
      </c>
      <c r="E36" s="1" t="n">
        <v>24000</v>
      </c>
    </row>
    <row r="37" customFormat="false" ht="14.25" hidden="false" customHeight="false" outlineLevel="0" collapsed="false">
      <c r="A37" s="1" t="n">
        <v>49</v>
      </c>
      <c r="B37" s="101" t="s">
        <v>1</v>
      </c>
      <c r="C37" s="7" t="n">
        <f aca="false">C36</f>
        <v>45997</v>
      </c>
      <c r="D37" s="103" t="n">
        <v>80111.6207558741</v>
      </c>
      <c r="E37" s="1" t="n">
        <v>100000</v>
      </c>
    </row>
    <row r="38" customFormat="false" ht="14.25" hidden="false" customHeight="false" outlineLevel="0" collapsed="false">
      <c r="A38" s="1" t="n">
        <v>49</v>
      </c>
      <c r="B38" s="1" t="s">
        <v>2</v>
      </c>
      <c r="C38" s="7" t="n">
        <f aca="false">C37</f>
        <v>45997</v>
      </c>
      <c r="D38" s="103" t="n">
        <v>0</v>
      </c>
      <c r="E38" s="1" t="n">
        <v>0</v>
      </c>
    </row>
    <row r="39" customFormat="false" ht="14.25" hidden="false" customHeight="false" outlineLevel="0" collapsed="false">
      <c r="A39" s="1" t="n">
        <v>25</v>
      </c>
      <c r="B39" s="101" t="s">
        <v>1</v>
      </c>
      <c r="C39" s="7" t="n">
        <v>45998</v>
      </c>
      <c r="D39" s="103" t="n">
        <v>0</v>
      </c>
      <c r="E39" s="1" t="n">
        <v>0</v>
      </c>
    </row>
    <row r="40" customFormat="false" ht="14.25" hidden="false" customHeight="false" outlineLevel="0" collapsed="false">
      <c r="A40" s="1" t="n">
        <v>44</v>
      </c>
      <c r="B40" s="101" t="s">
        <v>1</v>
      </c>
      <c r="C40" s="7" t="n">
        <f aca="false">C39</f>
        <v>45998</v>
      </c>
      <c r="D40" s="103" t="n">
        <v>0</v>
      </c>
      <c r="E40" s="1" t="n">
        <v>0</v>
      </c>
    </row>
    <row r="41" customFormat="false" ht="14.25" hidden="false" customHeight="false" outlineLevel="0" collapsed="false">
      <c r="A41" s="1" t="n">
        <v>45</v>
      </c>
      <c r="B41" s="101" t="s">
        <v>1</v>
      </c>
      <c r="C41" s="7" t="n">
        <f aca="false">C40</f>
        <v>45998</v>
      </c>
      <c r="D41" s="103" t="n">
        <v>0</v>
      </c>
      <c r="E41" s="1" t="n">
        <v>0</v>
      </c>
    </row>
    <row r="42" customFormat="false" ht="14.25" hidden="false" customHeight="false" outlineLevel="0" collapsed="false">
      <c r="A42" s="1" t="n">
        <v>47</v>
      </c>
      <c r="B42" s="101" t="s">
        <v>1</v>
      </c>
      <c r="C42" s="7" t="n">
        <f aca="false">C41</f>
        <v>45998</v>
      </c>
      <c r="D42" s="103" t="n">
        <v>0</v>
      </c>
      <c r="E42" s="1" t="n">
        <v>0</v>
      </c>
    </row>
    <row r="43" customFormat="false" ht="14.25" hidden="false" customHeight="false" outlineLevel="0" collapsed="false">
      <c r="A43" s="1" t="n">
        <v>49</v>
      </c>
      <c r="B43" s="101" t="s">
        <v>1</v>
      </c>
      <c r="C43" s="7" t="n">
        <f aca="false">C42</f>
        <v>45998</v>
      </c>
      <c r="D43" s="103" t="n">
        <v>0</v>
      </c>
      <c r="E43" s="1" t="n">
        <v>0</v>
      </c>
    </row>
    <row r="44" customFormat="false" ht="14.25" hidden="false" customHeight="false" outlineLevel="0" collapsed="false">
      <c r="A44" s="1" t="n">
        <v>49</v>
      </c>
      <c r="B44" s="1" t="s">
        <v>2</v>
      </c>
      <c r="C44" s="7" t="n">
        <f aca="false">C43</f>
        <v>45998</v>
      </c>
      <c r="D44" s="103" t="n">
        <v>0</v>
      </c>
      <c r="E44" s="1" t="n">
        <v>0</v>
      </c>
    </row>
    <row r="45" customFormat="false" ht="14.25" hidden="false" customHeight="false" outlineLevel="0" collapsed="false">
      <c r="A45" s="1" t="n">
        <v>25</v>
      </c>
      <c r="B45" s="101" t="s">
        <v>1</v>
      </c>
      <c r="C45" s="7" t="n">
        <v>45999</v>
      </c>
      <c r="D45" s="103" t="n">
        <v>33209.8657586625</v>
      </c>
      <c r="E45" s="1" t="n">
        <v>38000</v>
      </c>
    </row>
    <row r="46" customFormat="false" ht="14.25" hidden="false" customHeight="false" outlineLevel="0" collapsed="false">
      <c r="A46" s="1" t="n">
        <v>44</v>
      </c>
      <c r="B46" s="101" t="s">
        <v>1</v>
      </c>
      <c r="C46" s="7" t="n">
        <f aca="false">C45</f>
        <v>45999</v>
      </c>
      <c r="D46" s="103" t="n">
        <v>22191.7477014376</v>
      </c>
      <c r="E46" s="1" t="n">
        <v>25000</v>
      </c>
    </row>
    <row r="47" customFormat="false" ht="14.25" hidden="false" customHeight="false" outlineLevel="0" collapsed="false">
      <c r="A47" s="1" t="n">
        <v>45</v>
      </c>
      <c r="B47" s="101" t="s">
        <v>1</v>
      </c>
      <c r="C47" s="7" t="n">
        <f aca="false">C46</f>
        <v>45999</v>
      </c>
      <c r="D47" s="103" t="n">
        <v>22650.5318970135</v>
      </c>
      <c r="E47" s="1" t="n">
        <v>24000</v>
      </c>
    </row>
    <row r="48" customFormat="false" ht="14.25" hidden="false" customHeight="false" outlineLevel="0" collapsed="false">
      <c r="A48" s="1" t="n">
        <v>47</v>
      </c>
      <c r="B48" s="101" t="s">
        <v>1</v>
      </c>
      <c r="C48" s="7" t="n">
        <f aca="false">C47</f>
        <v>45999</v>
      </c>
      <c r="D48" s="103" t="n">
        <v>41189.0291860015</v>
      </c>
      <c r="E48" s="1" t="n">
        <v>48000</v>
      </c>
    </row>
    <row r="49" customFormat="false" ht="14.25" hidden="false" customHeight="false" outlineLevel="0" collapsed="false">
      <c r="A49" s="1" t="n">
        <v>49</v>
      </c>
      <c r="B49" s="101" t="s">
        <v>1</v>
      </c>
      <c r="C49" s="7" t="n">
        <f aca="false">C48</f>
        <v>45999</v>
      </c>
      <c r="D49" s="103" t="n">
        <v>173252.947033798</v>
      </c>
      <c r="E49" s="1" t="n">
        <v>180000</v>
      </c>
    </row>
    <row r="50" customFormat="false" ht="14.25" hidden="false" customHeight="false" outlineLevel="0" collapsed="false">
      <c r="A50" s="1" t="n">
        <v>49</v>
      </c>
      <c r="B50" s="1" t="s">
        <v>2</v>
      </c>
      <c r="C50" s="7" t="n">
        <f aca="false">C49</f>
        <v>45999</v>
      </c>
      <c r="D50" s="103" t="n">
        <v>156424.83028618</v>
      </c>
      <c r="E50" s="1" t="n">
        <v>160000</v>
      </c>
    </row>
    <row r="51" customFormat="false" ht="14.25" hidden="false" customHeight="false" outlineLevel="0" collapsed="false">
      <c r="A51" s="1" t="n">
        <v>25</v>
      </c>
      <c r="B51" s="101" t="s">
        <v>1</v>
      </c>
      <c r="C51" s="7" t="n">
        <v>46000</v>
      </c>
      <c r="D51" s="103" t="n">
        <v>50829.122823594</v>
      </c>
      <c r="E51" s="1" t="n">
        <v>60000</v>
      </c>
    </row>
    <row r="52" customFormat="false" ht="14.25" hidden="false" customHeight="false" outlineLevel="0" collapsed="false">
      <c r="A52" s="1" t="n">
        <v>44</v>
      </c>
      <c r="B52" s="101" t="s">
        <v>1</v>
      </c>
      <c r="C52" s="7" t="n">
        <f aca="false">C51</f>
        <v>46000</v>
      </c>
      <c r="D52" s="103" t="n">
        <v>24410.9224715813</v>
      </c>
      <c r="E52" s="1" t="n">
        <v>25000</v>
      </c>
    </row>
    <row r="53" customFormat="false" ht="14.25" hidden="false" customHeight="false" outlineLevel="0" collapsed="false">
      <c r="A53" s="1" t="n">
        <v>45</v>
      </c>
      <c r="B53" s="101" t="s">
        <v>1</v>
      </c>
      <c r="C53" s="7" t="n">
        <f aca="false">C52</f>
        <v>46000</v>
      </c>
      <c r="D53" s="103" t="n">
        <v>24205.182040854</v>
      </c>
      <c r="E53" s="1" t="n">
        <v>25000</v>
      </c>
    </row>
    <row r="54" customFormat="false" ht="14.25" hidden="false" customHeight="false" outlineLevel="0" collapsed="false">
      <c r="A54" s="1" t="n">
        <v>47</v>
      </c>
      <c r="B54" s="101" t="s">
        <v>1</v>
      </c>
      <c r="C54" s="7" t="n">
        <f aca="false">C53</f>
        <v>46000</v>
      </c>
      <c r="D54" s="103" t="n">
        <v>59143.2213952842</v>
      </c>
      <c r="E54" s="1" t="n">
        <v>72000</v>
      </c>
    </row>
    <row r="55" customFormat="false" ht="14.25" hidden="false" customHeight="false" outlineLevel="0" collapsed="false">
      <c r="A55" s="1" t="n">
        <v>49</v>
      </c>
      <c r="B55" s="101" t="s">
        <v>1</v>
      </c>
      <c r="C55" s="7" t="n">
        <f aca="false">C54</f>
        <v>46000</v>
      </c>
      <c r="D55" s="103" t="n">
        <v>219510.464756839</v>
      </c>
      <c r="E55" s="1" t="n">
        <v>220000</v>
      </c>
    </row>
    <row r="56" customFormat="false" ht="14.25" hidden="false" customHeight="false" outlineLevel="0" collapsed="false">
      <c r="A56" s="1" t="n">
        <v>49</v>
      </c>
      <c r="B56" s="1" t="s">
        <v>2</v>
      </c>
      <c r="C56" s="7" t="n">
        <f aca="false">C55</f>
        <v>46000</v>
      </c>
      <c r="D56" s="103" t="n">
        <v>157259.7505779</v>
      </c>
      <c r="E56" s="1" t="n">
        <v>170000</v>
      </c>
    </row>
    <row r="57" customFormat="false" ht="14.25" hidden="false" customHeight="false" outlineLevel="0" collapsed="false">
      <c r="A57" s="1" t="n">
        <v>25</v>
      </c>
      <c r="B57" s="101" t="s">
        <v>1</v>
      </c>
      <c r="C57" s="7" t="n">
        <v>46001</v>
      </c>
      <c r="D57" s="103" t="n">
        <v>56663.6218107373</v>
      </c>
      <c r="E57" s="1" t="n">
        <v>60000</v>
      </c>
    </row>
    <row r="58" customFormat="false" ht="14.25" hidden="false" customHeight="false" outlineLevel="0" collapsed="false">
      <c r="A58" s="1" t="n">
        <v>44</v>
      </c>
      <c r="B58" s="101" t="s">
        <v>1</v>
      </c>
      <c r="C58" s="7" t="n">
        <f aca="false">C57</f>
        <v>46001</v>
      </c>
      <c r="D58" s="103" t="n">
        <v>33287.6215521564</v>
      </c>
      <c r="E58" s="1" t="n">
        <v>38000</v>
      </c>
    </row>
    <row r="59" customFormat="false" ht="14.25" hidden="false" customHeight="false" outlineLevel="0" collapsed="false">
      <c r="A59" s="1" t="n">
        <v>45</v>
      </c>
      <c r="B59" s="101" t="s">
        <v>1</v>
      </c>
      <c r="C59" s="7" t="n">
        <f aca="false">C58</f>
        <v>46001</v>
      </c>
      <c r="D59" s="103" t="n">
        <v>36034.9371088851</v>
      </c>
      <c r="E59" s="1" t="n">
        <v>38000</v>
      </c>
    </row>
    <row r="60" customFormat="false" ht="14.25" hidden="false" customHeight="false" outlineLevel="0" collapsed="false">
      <c r="A60" s="1" t="n">
        <v>47</v>
      </c>
      <c r="B60" s="101" t="s">
        <v>1</v>
      </c>
      <c r="C60" s="7" t="n">
        <f aca="false">C59</f>
        <v>46001</v>
      </c>
      <c r="D60" s="103" t="n">
        <v>59918.4200471439</v>
      </c>
      <c r="E60" s="1" t="n">
        <v>72000</v>
      </c>
    </row>
    <row r="61" customFormat="false" ht="14.25" hidden="false" customHeight="false" outlineLevel="0" collapsed="false">
      <c r="A61" s="1" t="n">
        <v>49</v>
      </c>
      <c r="B61" s="101" t="s">
        <v>1</v>
      </c>
      <c r="C61" s="7" t="n">
        <f aca="false">C60</f>
        <v>46001</v>
      </c>
      <c r="D61" s="103" t="n">
        <v>219114.021248627</v>
      </c>
      <c r="E61" s="1" t="n">
        <v>220000</v>
      </c>
    </row>
    <row r="62" customFormat="false" ht="14.25" hidden="false" customHeight="false" outlineLevel="0" collapsed="false">
      <c r="A62" s="1" t="n">
        <v>49</v>
      </c>
      <c r="B62" s="1" t="s">
        <v>2</v>
      </c>
      <c r="C62" s="7" t="n">
        <f aca="false">C61</f>
        <v>46001</v>
      </c>
      <c r="D62" s="103" t="n">
        <v>149832.212917797</v>
      </c>
      <c r="E62" s="1" t="n">
        <v>170000</v>
      </c>
    </row>
    <row r="63" customFormat="false" ht="14.25" hidden="false" customHeight="false" outlineLevel="0" collapsed="false">
      <c r="A63" s="1" t="n">
        <v>25</v>
      </c>
      <c r="B63" s="101" t="s">
        <v>1</v>
      </c>
      <c r="C63" s="7" t="n">
        <v>46002</v>
      </c>
      <c r="D63" s="103" t="n">
        <v>51585.3589095841</v>
      </c>
      <c r="E63" s="1" t="n">
        <v>60000</v>
      </c>
    </row>
    <row r="64" customFormat="false" ht="14.25" hidden="false" customHeight="false" outlineLevel="0" collapsed="false">
      <c r="A64" s="1" t="n">
        <v>44</v>
      </c>
      <c r="B64" s="101" t="s">
        <v>1</v>
      </c>
      <c r="C64" s="7" t="n">
        <f aca="false">C63</f>
        <v>46002</v>
      </c>
      <c r="D64" s="103" t="n">
        <v>24410.9224715813</v>
      </c>
      <c r="E64" s="1" t="n">
        <v>25000</v>
      </c>
    </row>
    <row r="65" customFormat="false" ht="14.25" hidden="false" customHeight="false" outlineLevel="0" collapsed="false">
      <c r="A65" s="1" t="n">
        <v>45</v>
      </c>
      <c r="B65" s="101" t="s">
        <v>1</v>
      </c>
      <c r="C65" s="7" t="n">
        <f aca="false">C64</f>
        <v>46002</v>
      </c>
      <c r="D65" s="103" t="n">
        <v>26913.9797418105</v>
      </c>
      <c r="E65" s="1" t="n">
        <v>38000</v>
      </c>
    </row>
    <row r="66" customFormat="false" ht="14.25" hidden="false" customHeight="false" outlineLevel="0" collapsed="false">
      <c r="A66" s="1" t="n">
        <v>47</v>
      </c>
      <c r="B66" s="101" t="s">
        <v>1</v>
      </c>
      <c r="C66" s="7" t="n">
        <f aca="false">C65</f>
        <v>46002</v>
      </c>
      <c r="D66" s="103" t="n">
        <v>59143.2213952842</v>
      </c>
      <c r="E66" s="1" t="n">
        <v>60000</v>
      </c>
    </row>
    <row r="67" customFormat="false" ht="14.25" hidden="false" customHeight="false" outlineLevel="0" collapsed="false">
      <c r="A67" s="1" t="n">
        <v>49</v>
      </c>
      <c r="B67" s="101" t="s">
        <v>1</v>
      </c>
      <c r="C67" s="7" t="n">
        <f aca="false">C66</f>
        <v>46002</v>
      </c>
      <c r="D67" s="103" t="n">
        <v>203393.864142766</v>
      </c>
      <c r="E67" s="1" t="n">
        <v>210000</v>
      </c>
    </row>
    <row r="68" customFormat="false" ht="14.25" hidden="false" customHeight="false" outlineLevel="0" collapsed="false">
      <c r="A68" s="1" t="n">
        <v>49</v>
      </c>
      <c r="B68" s="1" t="s">
        <v>2</v>
      </c>
      <c r="C68" s="7" t="n">
        <f aca="false">C67</f>
        <v>46002</v>
      </c>
      <c r="D68" s="103" t="n">
        <v>138989.092246114</v>
      </c>
      <c r="E68" s="1" t="n">
        <v>160000</v>
      </c>
    </row>
    <row r="69" customFormat="false" ht="14.25" hidden="false" customHeight="false" outlineLevel="0" collapsed="false">
      <c r="A69" s="1" t="n">
        <v>25</v>
      </c>
      <c r="B69" s="101" t="s">
        <v>1</v>
      </c>
      <c r="C69" s="7" t="n">
        <v>46003</v>
      </c>
      <c r="D69" s="103" t="n">
        <v>46391.3359049293</v>
      </c>
      <c r="E69" s="1" t="n">
        <v>50000</v>
      </c>
    </row>
    <row r="70" customFormat="false" ht="14.25" hidden="false" customHeight="false" outlineLevel="0" collapsed="false">
      <c r="A70" s="1" t="n">
        <v>44</v>
      </c>
      <c r="B70" s="101" t="s">
        <v>1</v>
      </c>
      <c r="C70" s="7" t="n">
        <f aca="false">C69</f>
        <v>46003</v>
      </c>
      <c r="D70" s="103" t="n">
        <v>47712.2575580908</v>
      </c>
      <c r="E70" s="1" t="n">
        <v>50000</v>
      </c>
    </row>
    <row r="71" customFormat="false" ht="14.25" hidden="false" customHeight="false" outlineLevel="0" collapsed="false">
      <c r="A71" s="1" t="n">
        <v>45</v>
      </c>
      <c r="B71" s="101" t="s">
        <v>1</v>
      </c>
      <c r="C71" s="7" t="n">
        <f aca="false">C70</f>
        <v>46003</v>
      </c>
      <c r="D71" s="103" t="n">
        <v>31003.4303188531</v>
      </c>
      <c r="E71" s="1" t="n">
        <v>38000</v>
      </c>
    </row>
    <row r="72" customFormat="false" ht="14.25" hidden="false" customHeight="false" outlineLevel="0" collapsed="false">
      <c r="A72" s="1" t="n">
        <v>47</v>
      </c>
      <c r="B72" s="101" t="s">
        <v>1</v>
      </c>
      <c r="C72" s="7" t="n">
        <f aca="false">C71</f>
        <v>46003</v>
      </c>
      <c r="D72" s="103" t="n">
        <v>59143.2213952842</v>
      </c>
      <c r="E72" s="1" t="n">
        <v>60000</v>
      </c>
    </row>
    <row r="73" customFormat="false" ht="14.25" hidden="false" customHeight="false" outlineLevel="0" collapsed="false">
      <c r="A73" s="1" t="n">
        <v>49</v>
      </c>
      <c r="B73" s="101" t="s">
        <v>1</v>
      </c>
      <c r="C73" s="7" t="n">
        <f aca="false">C72</f>
        <v>46003</v>
      </c>
      <c r="D73" s="103" t="n">
        <v>201788.726545247</v>
      </c>
      <c r="E73" s="1" t="n">
        <v>210000</v>
      </c>
    </row>
    <row r="74" customFormat="false" ht="14.25" hidden="false" customHeight="false" outlineLevel="0" collapsed="false">
      <c r="A74" s="1" t="n">
        <v>49</v>
      </c>
      <c r="B74" s="1" t="s">
        <v>2</v>
      </c>
      <c r="C74" s="7" t="n">
        <f aca="false">C73</f>
        <v>46003</v>
      </c>
      <c r="D74" s="103" t="n">
        <v>67030.2005158565</v>
      </c>
      <c r="E74" s="1" t="n">
        <v>100000</v>
      </c>
    </row>
    <row r="75" customFormat="false" ht="14.25" hidden="false" customHeight="false" outlineLevel="0" collapsed="false">
      <c r="A75" s="1" t="n">
        <v>25</v>
      </c>
      <c r="B75" s="101" t="s">
        <v>1</v>
      </c>
      <c r="C75" s="7" t="n">
        <v>46004</v>
      </c>
      <c r="D75" s="103" t="n">
        <v>21823.6260699782</v>
      </c>
      <c r="E75" s="1" t="n">
        <v>24000</v>
      </c>
    </row>
    <row r="76" customFormat="false" ht="14.25" hidden="false" customHeight="false" outlineLevel="0" collapsed="false">
      <c r="A76" s="1" t="n">
        <v>44</v>
      </c>
      <c r="B76" s="101" t="s">
        <v>1</v>
      </c>
      <c r="C76" s="7" t="n">
        <f aca="false">C75</f>
        <v>46004</v>
      </c>
      <c r="D76" s="103" t="n">
        <v>0</v>
      </c>
      <c r="E76" s="1" t="n">
        <v>0</v>
      </c>
    </row>
    <row r="77" customFormat="false" ht="14.25" hidden="false" customHeight="false" outlineLevel="0" collapsed="false">
      <c r="A77" s="1" t="n">
        <v>45</v>
      </c>
      <c r="B77" s="101" t="s">
        <v>1</v>
      </c>
      <c r="C77" s="7" t="n">
        <f aca="false">C76</f>
        <v>46004</v>
      </c>
      <c r="D77" s="103" t="n">
        <v>0</v>
      </c>
      <c r="E77" s="1" t="n">
        <v>0</v>
      </c>
    </row>
    <row r="78" customFormat="false" ht="14.25" hidden="false" customHeight="false" outlineLevel="0" collapsed="false">
      <c r="A78" s="1" t="n">
        <v>47</v>
      </c>
      <c r="B78" s="101" t="s">
        <v>1</v>
      </c>
      <c r="C78" s="7" t="n">
        <f aca="false">C77</f>
        <v>46004</v>
      </c>
      <c r="D78" s="103" t="n">
        <v>23234.8369767188</v>
      </c>
      <c r="E78" s="1" t="n">
        <v>24000</v>
      </c>
    </row>
    <row r="79" customFormat="false" ht="14.25" hidden="false" customHeight="false" outlineLevel="0" collapsed="false">
      <c r="A79" s="1" t="n">
        <v>49</v>
      </c>
      <c r="B79" s="101" t="s">
        <v>1</v>
      </c>
      <c r="C79" s="7" t="n">
        <f aca="false">C78</f>
        <v>46004</v>
      </c>
      <c r="D79" s="103" t="n">
        <v>81530.7986041401</v>
      </c>
      <c r="E79" s="1" t="n">
        <v>100000</v>
      </c>
    </row>
    <row r="80" customFormat="false" ht="14.25" hidden="false" customHeight="false" outlineLevel="0" collapsed="false">
      <c r="A80" s="1" t="n">
        <v>49</v>
      </c>
      <c r="B80" s="1" t="s">
        <v>2</v>
      </c>
      <c r="C80" s="7" t="n">
        <f aca="false">C79</f>
        <v>46004</v>
      </c>
      <c r="D80" s="103" t="n">
        <v>0</v>
      </c>
      <c r="E80" s="1" t="n">
        <v>0</v>
      </c>
    </row>
    <row r="81" customFormat="false" ht="14.25" hidden="false" customHeight="false" outlineLevel="0" collapsed="false">
      <c r="A81" s="1" t="n">
        <v>25</v>
      </c>
      <c r="B81" s="101" t="s">
        <v>1</v>
      </c>
      <c r="C81" s="7" t="n">
        <v>46005</v>
      </c>
      <c r="D81" s="103" t="n">
        <v>0</v>
      </c>
      <c r="E81" s="1" t="n">
        <v>0</v>
      </c>
    </row>
    <row r="82" customFormat="false" ht="14.25" hidden="false" customHeight="false" outlineLevel="0" collapsed="false">
      <c r="A82" s="1" t="n">
        <v>44</v>
      </c>
      <c r="B82" s="101" t="s">
        <v>1</v>
      </c>
      <c r="C82" s="7" t="n">
        <f aca="false">C81</f>
        <v>46005</v>
      </c>
      <c r="D82" s="103" t="n">
        <v>0</v>
      </c>
      <c r="E82" s="1" t="n">
        <v>0</v>
      </c>
    </row>
    <row r="83" customFormat="false" ht="14.25" hidden="false" customHeight="false" outlineLevel="0" collapsed="false">
      <c r="A83" s="1" t="n">
        <v>45</v>
      </c>
      <c r="B83" s="101" t="s">
        <v>1</v>
      </c>
      <c r="C83" s="7" t="n">
        <f aca="false">C82</f>
        <v>46005</v>
      </c>
      <c r="D83" s="103" t="n">
        <v>0</v>
      </c>
      <c r="E83" s="1" t="n">
        <v>0</v>
      </c>
    </row>
    <row r="84" customFormat="false" ht="14.25" hidden="false" customHeight="false" outlineLevel="0" collapsed="false">
      <c r="A84" s="1" t="n">
        <v>47</v>
      </c>
      <c r="B84" s="101" t="s">
        <v>1</v>
      </c>
      <c r="C84" s="7" t="n">
        <f aca="false">C83</f>
        <v>46005</v>
      </c>
      <c r="D84" s="103" t="n">
        <v>0</v>
      </c>
      <c r="E84" s="1" t="n">
        <v>0</v>
      </c>
    </row>
    <row r="85" customFormat="false" ht="14.25" hidden="false" customHeight="false" outlineLevel="0" collapsed="false">
      <c r="A85" s="1" t="n">
        <v>49</v>
      </c>
      <c r="B85" s="101" t="s">
        <v>1</v>
      </c>
      <c r="C85" s="7" t="n">
        <f aca="false">C84</f>
        <v>46005</v>
      </c>
      <c r="D85" s="103" t="n">
        <v>0</v>
      </c>
      <c r="E85" s="1" t="n">
        <v>0</v>
      </c>
    </row>
    <row r="86" customFormat="false" ht="14.25" hidden="false" customHeight="false" outlineLevel="0" collapsed="false">
      <c r="A86" s="1" t="n">
        <v>49</v>
      </c>
      <c r="B86" s="1" t="s">
        <v>2</v>
      </c>
      <c r="C86" s="7" t="n">
        <f aca="false">C85</f>
        <v>46005</v>
      </c>
      <c r="D86" s="103" t="n">
        <v>0</v>
      </c>
      <c r="E86" s="1" t="n">
        <v>0</v>
      </c>
    </row>
    <row r="87" customFormat="false" ht="14.25" hidden="false" customHeight="false" outlineLevel="0" collapsed="false">
      <c r="A87" s="1" t="n">
        <v>25</v>
      </c>
      <c r="B87" s="101" t="s">
        <v>1</v>
      </c>
      <c r="C87" s="7" t="n">
        <v>46006</v>
      </c>
      <c r="D87" s="103" t="n">
        <v>37727.003955881</v>
      </c>
      <c r="E87" s="1" t="n">
        <v>38000</v>
      </c>
    </row>
    <row r="88" customFormat="false" ht="14.25" hidden="false" customHeight="false" outlineLevel="0" collapsed="false">
      <c r="A88" s="1" t="n">
        <v>44</v>
      </c>
      <c r="B88" s="101" t="s">
        <v>1</v>
      </c>
      <c r="C88" s="7" t="n">
        <f aca="false">C87</f>
        <v>46006</v>
      </c>
      <c r="D88" s="103" t="n">
        <v>22527.3824702569</v>
      </c>
      <c r="E88" s="1" t="n">
        <v>25000</v>
      </c>
    </row>
    <row r="89" customFormat="false" ht="14.25" hidden="false" customHeight="false" outlineLevel="0" collapsed="false">
      <c r="A89" s="1" t="n">
        <v>45</v>
      </c>
      <c r="B89" s="101" t="s">
        <v>1</v>
      </c>
      <c r="C89" s="7" t="n">
        <f aca="false">C88</f>
        <v>46006</v>
      </c>
      <c r="D89" s="103" t="n">
        <v>21803.3071550928</v>
      </c>
      <c r="E89" s="1" t="n">
        <v>24000</v>
      </c>
    </row>
    <row r="90" customFormat="false" ht="14.25" hidden="false" customHeight="false" outlineLevel="0" collapsed="false">
      <c r="A90" s="1" t="n">
        <v>47</v>
      </c>
      <c r="B90" s="101" t="s">
        <v>1</v>
      </c>
      <c r="C90" s="7" t="n">
        <f aca="false">C89</f>
        <v>46006</v>
      </c>
      <c r="D90" s="103" t="n">
        <v>47078.8413723783</v>
      </c>
      <c r="E90" s="1" t="n">
        <v>48000</v>
      </c>
    </row>
    <row r="91" customFormat="false" ht="14.25" hidden="false" customHeight="false" outlineLevel="0" collapsed="false">
      <c r="A91" s="1" t="n">
        <v>49</v>
      </c>
      <c r="B91" s="101" t="s">
        <v>1</v>
      </c>
      <c r="C91" s="7" t="n">
        <f aca="false">C90</f>
        <v>46006</v>
      </c>
      <c r="D91" s="103" t="n">
        <v>179777.00296006</v>
      </c>
      <c r="E91" s="1" t="n">
        <v>180000</v>
      </c>
    </row>
    <row r="92" customFormat="false" ht="14.25" hidden="false" customHeight="false" outlineLevel="0" collapsed="false">
      <c r="A92" s="1" t="n">
        <v>49</v>
      </c>
      <c r="B92" s="1" t="s">
        <v>2</v>
      </c>
      <c r="C92" s="7" t="n">
        <f aca="false">C91</f>
        <v>46006</v>
      </c>
      <c r="D92" s="103" t="n">
        <v>158198.832225703</v>
      </c>
      <c r="E92" s="1" t="n">
        <v>160000</v>
      </c>
    </row>
    <row r="93" customFormat="false" ht="14.25" hidden="false" customHeight="false" outlineLevel="0" collapsed="false">
      <c r="A93" s="1" t="n">
        <v>25</v>
      </c>
      <c r="B93" s="101" t="s">
        <v>1</v>
      </c>
      <c r="C93" s="7" t="n">
        <v>46007</v>
      </c>
      <c r="D93" s="103" t="n">
        <v>57923.212348563</v>
      </c>
      <c r="E93" s="1" t="n">
        <v>60000</v>
      </c>
    </row>
    <row r="94" customFormat="false" ht="14.25" hidden="false" customHeight="false" outlineLevel="0" collapsed="false">
      <c r="A94" s="1" t="n">
        <v>44</v>
      </c>
      <c r="B94" s="101" t="s">
        <v>1</v>
      </c>
      <c r="C94" s="7" t="n">
        <f aca="false">C93</f>
        <v>46007</v>
      </c>
      <c r="D94" s="103" t="n">
        <v>21660.9446829394</v>
      </c>
      <c r="E94" s="1" t="n">
        <v>25000</v>
      </c>
    </row>
    <row r="95" customFormat="false" ht="14.25" hidden="false" customHeight="false" outlineLevel="0" collapsed="false">
      <c r="A95" s="1" t="n">
        <v>45</v>
      </c>
      <c r="B95" s="101" t="s">
        <v>1</v>
      </c>
      <c r="C95" s="7" t="n">
        <f aca="false">C94</f>
        <v>46007</v>
      </c>
      <c r="D95" s="103" t="n">
        <v>25437.1916809417</v>
      </c>
      <c r="E95" s="1" t="n">
        <v>38000</v>
      </c>
    </row>
    <row r="96" customFormat="false" ht="14.25" hidden="false" customHeight="false" outlineLevel="0" collapsed="false">
      <c r="A96" s="1" t="n">
        <v>47</v>
      </c>
      <c r="B96" s="101" t="s">
        <v>1</v>
      </c>
      <c r="C96" s="7" t="n">
        <f aca="false">C95</f>
        <v>46007</v>
      </c>
      <c r="D96" s="103" t="n">
        <v>58848.5517154728</v>
      </c>
      <c r="E96" s="1" t="n">
        <v>72000</v>
      </c>
    </row>
    <row r="97" customFormat="false" ht="14.25" hidden="false" customHeight="false" outlineLevel="0" collapsed="false">
      <c r="A97" s="1" t="n">
        <v>49</v>
      </c>
      <c r="B97" s="101" t="s">
        <v>1</v>
      </c>
      <c r="C97" s="7" t="n">
        <f aca="false">C96</f>
        <v>46007</v>
      </c>
      <c r="D97" s="103" t="n">
        <v>219388.884968208</v>
      </c>
      <c r="E97" s="1" t="n">
        <v>220000</v>
      </c>
    </row>
    <row r="98" customFormat="false" ht="14.25" hidden="false" customHeight="false" outlineLevel="0" collapsed="false">
      <c r="A98" s="1" t="n">
        <v>49</v>
      </c>
      <c r="B98" s="1" t="s">
        <v>2</v>
      </c>
      <c r="C98" s="7" t="n">
        <f aca="false">C97</f>
        <v>46007</v>
      </c>
      <c r="D98" s="103" t="n">
        <v>166208.899680169</v>
      </c>
      <c r="E98" s="1" t="n">
        <v>170000</v>
      </c>
    </row>
    <row r="99" customFormat="false" ht="14.25" hidden="false" customHeight="false" outlineLevel="0" collapsed="false">
      <c r="A99" s="1" t="n">
        <v>25</v>
      </c>
      <c r="B99" s="101" t="s">
        <v>1</v>
      </c>
      <c r="C99" s="7" t="n">
        <v>46008</v>
      </c>
      <c r="D99" s="103" t="n">
        <v>52817.8055382334</v>
      </c>
      <c r="E99" s="1" t="n">
        <v>60000</v>
      </c>
    </row>
    <row r="100" customFormat="false" ht="14.25" hidden="false" customHeight="false" outlineLevel="0" collapsed="false">
      <c r="A100" s="1" t="n">
        <v>44</v>
      </c>
      <c r="B100" s="101" t="s">
        <v>1</v>
      </c>
      <c r="C100" s="7" t="n">
        <f aca="false">C99</f>
        <v>46008</v>
      </c>
      <c r="D100" s="103" t="n">
        <v>47654.0783024666</v>
      </c>
      <c r="E100" s="1" t="n">
        <v>50000</v>
      </c>
    </row>
    <row r="101" customFormat="false" ht="14.25" hidden="false" customHeight="false" outlineLevel="0" collapsed="false">
      <c r="A101" s="1" t="n">
        <v>45</v>
      </c>
      <c r="B101" s="101" t="s">
        <v>1</v>
      </c>
      <c r="C101" s="7" t="n">
        <f aca="false">C100</f>
        <v>46008</v>
      </c>
      <c r="D101" s="103" t="n">
        <v>31796.4896011771</v>
      </c>
      <c r="E101" s="1" t="n">
        <v>38000</v>
      </c>
    </row>
    <row r="102" customFormat="false" ht="14.25" hidden="false" customHeight="false" outlineLevel="0" collapsed="false">
      <c r="A102" s="1" t="n">
        <v>47</v>
      </c>
      <c r="B102" s="101" t="s">
        <v>1</v>
      </c>
      <c r="C102" s="7" t="n">
        <f aca="false">C101</f>
        <v>46008</v>
      </c>
      <c r="D102" s="103" t="n">
        <v>58848.5517154728</v>
      </c>
      <c r="E102" s="1" t="n">
        <v>72000</v>
      </c>
    </row>
    <row r="103" customFormat="false" ht="14.25" hidden="false" customHeight="false" outlineLevel="0" collapsed="false">
      <c r="A103" s="1" t="n">
        <v>49</v>
      </c>
      <c r="B103" s="101" t="s">
        <v>1</v>
      </c>
      <c r="C103" s="7" t="n">
        <f aca="false">C102</f>
        <v>46008</v>
      </c>
      <c r="D103" s="103" t="n">
        <v>219388.884968208</v>
      </c>
      <c r="E103" s="1" t="n">
        <v>220000</v>
      </c>
    </row>
    <row r="104" customFormat="false" ht="14.25" hidden="false" customHeight="false" outlineLevel="0" collapsed="false">
      <c r="A104" s="1" t="n">
        <v>49</v>
      </c>
      <c r="B104" s="1" t="s">
        <v>2</v>
      </c>
      <c r="C104" s="7" t="n">
        <f aca="false">C103</f>
        <v>46008</v>
      </c>
      <c r="D104" s="103" t="n">
        <v>165207.64124836</v>
      </c>
      <c r="E104" s="1" t="n">
        <v>170000</v>
      </c>
    </row>
    <row r="105" customFormat="false" ht="14.25" hidden="false" customHeight="false" outlineLevel="0" collapsed="false">
      <c r="A105" s="1" t="n">
        <v>25</v>
      </c>
      <c r="B105" s="101" t="s">
        <v>1</v>
      </c>
      <c r="C105" s="7" t="n">
        <v>46009</v>
      </c>
      <c r="D105" s="103" t="n">
        <v>51874.6304393364</v>
      </c>
      <c r="E105" s="1" t="n">
        <v>60000</v>
      </c>
    </row>
    <row r="106" customFormat="false" ht="14.25" hidden="false" customHeight="false" outlineLevel="0" collapsed="false">
      <c r="A106" s="1" t="n">
        <v>44</v>
      </c>
      <c r="B106" s="101" t="s">
        <v>1</v>
      </c>
      <c r="C106" s="7" t="n">
        <f aca="false">C105</f>
        <v>46009</v>
      </c>
      <c r="D106" s="103" t="n">
        <v>21660.9446829394</v>
      </c>
      <c r="E106" s="1" t="n">
        <v>25000</v>
      </c>
    </row>
    <row r="107" customFormat="false" ht="14.25" hidden="false" customHeight="false" outlineLevel="0" collapsed="false">
      <c r="A107" s="1" t="n">
        <v>45</v>
      </c>
      <c r="B107" s="101" t="s">
        <v>1</v>
      </c>
      <c r="C107" s="7" t="n">
        <f aca="false">C106</f>
        <v>46009</v>
      </c>
      <c r="D107" s="103" t="n">
        <v>24528.7205494795</v>
      </c>
      <c r="E107" s="1" t="n">
        <v>38000</v>
      </c>
    </row>
    <row r="108" customFormat="false" ht="14.25" hidden="false" customHeight="false" outlineLevel="0" collapsed="false">
      <c r="A108" s="1" t="n">
        <v>47</v>
      </c>
      <c r="B108" s="101" t="s">
        <v>1</v>
      </c>
      <c r="C108" s="7" t="n">
        <f aca="false">C107</f>
        <v>46009</v>
      </c>
      <c r="D108" s="103" t="n">
        <v>58848.5517154728</v>
      </c>
      <c r="E108" s="1" t="n">
        <v>60000</v>
      </c>
    </row>
    <row r="109" customFormat="false" ht="14.25" hidden="false" customHeight="false" outlineLevel="0" collapsed="false">
      <c r="A109" s="1" t="n">
        <v>49</v>
      </c>
      <c r="B109" s="101" t="s">
        <v>1</v>
      </c>
      <c r="C109" s="7" t="n">
        <f aca="false">C108</f>
        <v>46009</v>
      </c>
      <c r="D109" s="103" t="n">
        <v>209231.992145606</v>
      </c>
      <c r="E109" s="1" t="n">
        <v>210000</v>
      </c>
    </row>
    <row r="110" customFormat="false" ht="14.25" hidden="false" customHeight="false" outlineLevel="0" collapsed="false">
      <c r="A110" s="1" t="n">
        <v>49</v>
      </c>
      <c r="B110" s="1" t="s">
        <v>2</v>
      </c>
      <c r="C110" s="7" t="n">
        <f aca="false">C109</f>
        <v>46009</v>
      </c>
      <c r="D110" s="103" t="n">
        <v>155195.056930278</v>
      </c>
      <c r="E110" s="1" t="n">
        <v>160000</v>
      </c>
    </row>
    <row r="111" customFormat="false" ht="14.25" hidden="false" customHeight="false" outlineLevel="0" collapsed="false">
      <c r="A111" s="1" t="n">
        <v>25</v>
      </c>
      <c r="B111" s="101" t="s">
        <v>1</v>
      </c>
      <c r="C111" s="7" t="n">
        <v>46010</v>
      </c>
      <c r="D111" s="103" t="n">
        <v>45260.1434707715</v>
      </c>
      <c r="E111" s="1" t="n">
        <v>50000</v>
      </c>
    </row>
    <row r="112" customFormat="false" ht="14.25" hidden="false" customHeight="false" outlineLevel="0" collapsed="false">
      <c r="A112" s="1" t="n">
        <v>44</v>
      </c>
      <c r="B112" s="101" t="s">
        <v>1</v>
      </c>
      <c r="C112" s="7" t="n">
        <f aca="false">C111</f>
        <v>46010</v>
      </c>
      <c r="D112" s="103" t="n">
        <v>47654.0783024666</v>
      </c>
      <c r="E112" s="1" t="n">
        <v>50000</v>
      </c>
    </row>
    <row r="113" customFormat="false" ht="14.25" hidden="false" customHeight="false" outlineLevel="0" collapsed="false">
      <c r="A113" s="1" t="n">
        <v>45</v>
      </c>
      <c r="B113" s="101" t="s">
        <v>1</v>
      </c>
      <c r="C113" s="7" t="n">
        <f aca="false">C112</f>
        <v>46010</v>
      </c>
      <c r="D113" s="103" t="n">
        <v>30906.1878923441</v>
      </c>
      <c r="E113" s="1" t="n">
        <v>38000</v>
      </c>
    </row>
    <row r="114" customFormat="false" ht="14.25" hidden="false" customHeight="false" outlineLevel="0" collapsed="false">
      <c r="A114" s="1" t="n">
        <v>47</v>
      </c>
      <c r="B114" s="101" t="s">
        <v>1</v>
      </c>
      <c r="C114" s="7" t="n">
        <f aca="false">C113</f>
        <v>46010</v>
      </c>
      <c r="D114" s="103" t="n">
        <v>58848.5517154728</v>
      </c>
      <c r="E114" s="1" t="n">
        <v>60000</v>
      </c>
    </row>
    <row r="115" customFormat="false" ht="14.25" hidden="false" customHeight="false" outlineLevel="0" collapsed="false">
      <c r="A115" s="1" t="n">
        <v>49</v>
      </c>
      <c r="B115" s="101" t="s">
        <v>1</v>
      </c>
      <c r="C115" s="7" t="n">
        <f aca="false">C114</f>
        <v>46010</v>
      </c>
      <c r="D115" s="103" t="n">
        <v>209231.992145606</v>
      </c>
      <c r="E115" s="1" t="n">
        <v>210000</v>
      </c>
    </row>
    <row r="116" customFormat="false" ht="14.25" hidden="false" customHeight="false" outlineLevel="0" collapsed="false">
      <c r="A116" s="1" t="n">
        <v>49</v>
      </c>
      <c r="B116" s="1" t="s">
        <v>2</v>
      </c>
      <c r="C116" s="7" t="n">
        <f aca="false">C115</f>
        <v>46010</v>
      </c>
      <c r="D116" s="103" t="n">
        <v>93117.0341581668</v>
      </c>
      <c r="E116" s="1" t="n">
        <v>100000</v>
      </c>
    </row>
    <row r="117" customFormat="false" ht="14.25" hidden="false" customHeight="false" outlineLevel="0" collapsed="false">
      <c r="A117" s="1" t="n">
        <v>25</v>
      </c>
      <c r="B117" s="101" t="s">
        <v>1</v>
      </c>
      <c r="C117" s="7" t="n">
        <v>46011</v>
      </c>
      <c r="D117" s="103" t="n">
        <v>23579.3774724256</v>
      </c>
      <c r="E117" s="1" t="n">
        <v>24000</v>
      </c>
    </row>
    <row r="118" customFormat="false" ht="14.25" hidden="false" customHeight="false" outlineLevel="0" collapsed="false">
      <c r="A118" s="1" t="n">
        <v>44</v>
      </c>
      <c r="B118" s="101" t="s">
        <v>1</v>
      </c>
      <c r="C118" s="7" t="n">
        <f aca="false">C117</f>
        <v>46011</v>
      </c>
      <c r="D118" s="103" t="n">
        <v>0</v>
      </c>
      <c r="E118" s="1" t="n">
        <v>0</v>
      </c>
    </row>
    <row r="119" customFormat="false" ht="14.25" hidden="false" customHeight="false" outlineLevel="0" collapsed="false">
      <c r="A119" s="1" t="n">
        <v>45</v>
      </c>
      <c r="B119" s="101" t="s">
        <v>1</v>
      </c>
      <c r="C119" s="7" t="n">
        <f aca="false">C118</f>
        <v>46011</v>
      </c>
      <c r="D119" s="103" t="n">
        <v>21803.3071550928</v>
      </c>
      <c r="E119" s="1" t="n">
        <v>24000</v>
      </c>
    </row>
    <row r="120" customFormat="false" ht="14.25" hidden="false" customHeight="false" outlineLevel="0" collapsed="false">
      <c r="A120" s="1" t="n">
        <v>47</v>
      </c>
      <c r="B120" s="101" t="s">
        <v>1</v>
      </c>
      <c r="C120" s="7" t="n">
        <f aca="false">C119</f>
        <v>46011</v>
      </c>
      <c r="D120" s="103" t="n">
        <v>23539.4206861891</v>
      </c>
      <c r="E120" s="1" t="n">
        <v>24000</v>
      </c>
    </row>
    <row r="121" customFormat="false" ht="14.25" hidden="false" customHeight="false" outlineLevel="0" collapsed="false">
      <c r="A121" s="1" t="n">
        <v>49</v>
      </c>
      <c r="B121" s="101" t="s">
        <v>1</v>
      </c>
      <c r="C121" s="7" t="n">
        <f aca="false">C120</f>
        <v>46011</v>
      </c>
      <c r="D121" s="103" t="n">
        <v>99537.549661502</v>
      </c>
      <c r="E121" s="1" t="n">
        <v>100000</v>
      </c>
    </row>
    <row r="122" customFormat="false" ht="14.25" hidden="false" customHeight="false" outlineLevel="0" collapsed="false">
      <c r="A122" s="1" t="n">
        <v>49</v>
      </c>
      <c r="B122" s="1" t="s">
        <v>2</v>
      </c>
      <c r="C122" s="7" t="n">
        <f aca="false">C121</f>
        <v>46011</v>
      </c>
      <c r="D122" s="103" t="n">
        <v>0</v>
      </c>
      <c r="E122" s="1" t="n">
        <v>0</v>
      </c>
    </row>
    <row r="123" customFormat="false" ht="14.25" hidden="false" customHeight="false" outlineLevel="0" collapsed="false">
      <c r="A123" s="1" t="n">
        <v>25</v>
      </c>
      <c r="B123" s="101" t="s">
        <v>1</v>
      </c>
      <c r="C123" s="7" t="n">
        <v>46012</v>
      </c>
      <c r="D123" s="103" t="n">
        <v>0</v>
      </c>
      <c r="E123" s="1" t="n">
        <v>0</v>
      </c>
    </row>
    <row r="124" customFormat="false" ht="14.25" hidden="false" customHeight="false" outlineLevel="0" collapsed="false">
      <c r="A124" s="1" t="n">
        <v>44</v>
      </c>
      <c r="B124" s="101" t="s">
        <v>1</v>
      </c>
      <c r="C124" s="7" t="n">
        <f aca="false">C123</f>
        <v>46012</v>
      </c>
      <c r="D124" s="103" t="n">
        <v>0</v>
      </c>
      <c r="E124" s="1" t="n">
        <v>0</v>
      </c>
    </row>
    <row r="125" customFormat="false" ht="14.25" hidden="false" customHeight="false" outlineLevel="0" collapsed="false">
      <c r="A125" s="1" t="n">
        <v>45</v>
      </c>
      <c r="B125" s="101" t="s">
        <v>1</v>
      </c>
      <c r="C125" s="7" t="n">
        <f aca="false">C124</f>
        <v>46012</v>
      </c>
      <c r="D125" s="103" t="n">
        <v>0</v>
      </c>
      <c r="E125" s="1" t="n">
        <v>0</v>
      </c>
    </row>
    <row r="126" customFormat="false" ht="14.25" hidden="false" customHeight="false" outlineLevel="0" collapsed="false">
      <c r="A126" s="1" t="n">
        <v>47</v>
      </c>
      <c r="B126" s="101" t="s">
        <v>1</v>
      </c>
      <c r="C126" s="7" t="n">
        <f aca="false">C125</f>
        <v>46012</v>
      </c>
      <c r="D126" s="103" t="n">
        <v>0</v>
      </c>
      <c r="E126" s="1" t="n">
        <v>0</v>
      </c>
    </row>
    <row r="127" customFormat="false" ht="14.25" hidden="false" customHeight="false" outlineLevel="0" collapsed="false">
      <c r="A127" s="1" t="n">
        <v>49</v>
      </c>
      <c r="B127" s="101" t="s">
        <v>1</v>
      </c>
      <c r="C127" s="7" t="n">
        <f aca="false">C126</f>
        <v>46012</v>
      </c>
      <c r="D127" s="103" t="n">
        <v>0</v>
      </c>
      <c r="E127" s="1" t="n">
        <v>0</v>
      </c>
    </row>
    <row r="128" customFormat="false" ht="14.25" hidden="false" customHeight="false" outlineLevel="0" collapsed="false">
      <c r="A128" s="1" t="n">
        <v>49</v>
      </c>
      <c r="B128" s="1" t="s">
        <v>2</v>
      </c>
      <c r="C128" s="7" t="n">
        <f aca="false">C127</f>
        <v>46012</v>
      </c>
      <c r="D128" s="103" t="n">
        <v>0</v>
      </c>
      <c r="E128" s="1" t="n">
        <v>0</v>
      </c>
    </row>
    <row r="129" customFormat="false" ht="14.25" hidden="false" customHeight="false" outlineLevel="0" collapsed="false">
      <c r="A129" s="1" t="n">
        <v>25</v>
      </c>
      <c r="B129" s="101" t="s">
        <v>1</v>
      </c>
      <c r="C129" s="7" t="n">
        <v>46013</v>
      </c>
      <c r="D129" s="103" t="n">
        <v>41592.3069109354</v>
      </c>
      <c r="E129" s="1" t="n">
        <v>50000</v>
      </c>
    </row>
    <row r="130" customFormat="false" ht="14.25" hidden="false" customHeight="false" outlineLevel="0" collapsed="false">
      <c r="A130" s="1" t="n">
        <v>44</v>
      </c>
      <c r="B130" s="101" t="s">
        <v>1</v>
      </c>
      <c r="C130" s="7" t="n">
        <f aca="false">C129</f>
        <v>46013</v>
      </c>
      <c r="D130" s="103" t="n">
        <v>24250.6069759514</v>
      </c>
      <c r="E130" s="1" t="n">
        <v>25000</v>
      </c>
    </row>
    <row r="131" customFormat="false" ht="14.25" hidden="false" customHeight="false" outlineLevel="0" collapsed="false">
      <c r="A131" s="1" t="n">
        <v>45</v>
      </c>
      <c r="B131" s="101" t="s">
        <v>1</v>
      </c>
      <c r="C131" s="7" t="n">
        <f aca="false">C130</f>
        <v>46013</v>
      </c>
      <c r="D131" s="103" t="n">
        <v>22081.1537211304</v>
      </c>
      <c r="E131" s="1" t="n">
        <v>24000</v>
      </c>
    </row>
    <row r="132" customFormat="false" ht="14.25" hidden="false" customHeight="false" outlineLevel="0" collapsed="false">
      <c r="A132" s="1" t="n">
        <v>47</v>
      </c>
      <c r="B132" s="101" t="s">
        <v>1</v>
      </c>
      <c r="C132" s="7" t="n">
        <f aca="false">C131</f>
        <v>46013</v>
      </c>
      <c r="D132" s="103" t="n">
        <v>47848.4415300909</v>
      </c>
      <c r="E132" s="1" t="n">
        <v>48000</v>
      </c>
    </row>
    <row r="133" customFormat="false" ht="14.25" hidden="false" customHeight="false" outlineLevel="0" collapsed="false">
      <c r="A133" s="1" t="n">
        <v>49</v>
      </c>
      <c r="B133" s="101" t="s">
        <v>1</v>
      </c>
      <c r="C133" s="7" t="n">
        <f aca="false">C132</f>
        <v>46013</v>
      </c>
      <c r="D133" s="103" t="n">
        <v>177847.852773718</v>
      </c>
      <c r="E133" s="1" t="n">
        <v>180000</v>
      </c>
    </row>
    <row r="134" customFormat="false" ht="14.25" hidden="false" customHeight="false" outlineLevel="0" collapsed="false">
      <c r="A134" s="1" t="n">
        <v>49</v>
      </c>
      <c r="B134" s="1" t="s">
        <v>2</v>
      </c>
      <c r="C134" s="7" t="n">
        <f aca="false">C133</f>
        <v>46013</v>
      </c>
      <c r="D134" s="103" t="n">
        <v>159966.439042514</v>
      </c>
      <c r="E134" s="1" t="n">
        <v>160000</v>
      </c>
    </row>
    <row r="135" customFormat="false" ht="14.25" hidden="false" customHeight="false" outlineLevel="0" collapsed="false">
      <c r="A135" s="1" t="n">
        <v>25</v>
      </c>
      <c r="B135" s="101" t="s">
        <v>1</v>
      </c>
      <c r="C135" s="7" t="n">
        <v>46014</v>
      </c>
      <c r="D135" s="103" t="n">
        <v>56762.407651584</v>
      </c>
      <c r="E135" s="1" t="n">
        <v>60000</v>
      </c>
    </row>
    <row r="136" customFormat="false" ht="14.25" hidden="false" customHeight="false" outlineLevel="0" collapsed="false">
      <c r="A136" s="1" t="n">
        <v>44</v>
      </c>
      <c r="B136" s="101" t="s">
        <v>1</v>
      </c>
      <c r="C136" s="7" t="n">
        <f aca="false">C135</f>
        <v>46014</v>
      </c>
      <c r="D136" s="103" t="n">
        <v>24250.6069759514</v>
      </c>
      <c r="E136" s="1" t="n">
        <v>25000</v>
      </c>
    </row>
    <row r="137" customFormat="false" ht="14.25" hidden="false" customHeight="false" outlineLevel="0" collapsed="false">
      <c r="A137" s="1" t="n">
        <v>45</v>
      </c>
      <c r="B137" s="101" t="s">
        <v>1</v>
      </c>
      <c r="C137" s="7" t="n">
        <f aca="false">C136</f>
        <v>46014</v>
      </c>
      <c r="D137" s="103" t="n">
        <v>19321.0095059891</v>
      </c>
      <c r="E137" s="1" t="n">
        <v>24000</v>
      </c>
    </row>
    <row r="138" customFormat="false" ht="14.25" hidden="false" customHeight="false" outlineLevel="0" collapsed="false">
      <c r="A138" s="1" t="n">
        <v>47</v>
      </c>
      <c r="B138" s="101" t="s">
        <v>1</v>
      </c>
      <c r="C138" s="7" t="n">
        <f aca="false">C137</f>
        <v>46014</v>
      </c>
      <c r="D138" s="103" t="n">
        <v>58794.0166548009</v>
      </c>
      <c r="E138" s="1" t="n">
        <v>60000</v>
      </c>
    </row>
    <row r="139" customFormat="false" ht="14.25" hidden="false" customHeight="false" outlineLevel="0" collapsed="false">
      <c r="A139" s="1" t="n">
        <v>49</v>
      </c>
      <c r="B139" s="101" t="s">
        <v>1</v>
      </c>
      <c r="C139" s="7" t="n">
        <f aca="false">C138</f>
        <v>46014</v>
      </c>
      <c r="D139" s="103" t="n">
        <v>215289.505989238</v>
      </c>
      <c r="E139" s="1" t="n">
        <v>220000</v>
      </c>
    </row>
    <row r="140" customFormat="false" ht="14.25" hidden="false" customHeight="false" outlineLevel="0" collapsed="false">
      <c r="A140" s="1" t="n">
        <v>49</v>
      </c>
      <c r="B140" s="1" t="s">
        <v>2</v>
      </c>
      <c r="C140" s="7" t="n">
        <f aca="false">C139</f>
        <v>46014</v>
      </c>
      <c r="D140" s="103" t="n">
        <v>167782.388832865</v>
      </c>
      <c r="E140" s="1" t="n">
        <v>170000</v>
      </c>
    </row>
    <row r="141" customFormat="false" ht="14.25" hidden="false" customHeight="false" outlineLevel="0" collapsed="false">
      <c r="A141" s="1" t="n">
        <v>25</v>
      </c>
      <c r="B141" s="101" t="s">
        <v>1</v>
      </c>
      <c r="C141" s="7" t="n">
        <v>46015</v>
      </c>
      <c r="D141" s="103" t="n">
        <v>22182.5636858322</v>
      </c>
      <c r="E141" s="1" t="n">
        <v>25000</v>
      </c>
    </row>
    <row r="142" customFormat="false" ht="14.25" hidden="false" customHeight="false" outlineLevel="0" collapsed="false">
      <c r="A142" s="1" t="n">
        <v>44</v>
      </c>
      <c r="B142" s="101" t="s">
        <v>1</v>
      </c>
      <c r="C142" s="7" t="n">
        <f aca="false">C141</f>
        <v>46015</v>
      </c>
      <c r="D142" s="103" t="n">
        <v>23352.4363472125</v>
      </c>
      <c r="E142" s="1" t="n">
        <v>24000</v>
      </c>
    </row>
    <row r="143" customFormat="false" ht="14.25" hidden="false" customHeight="false" outlineLevel="0" collapsed="false">
      <c r="A143" s="1" t="n">
        <v>45</v>
      </c>
      <c r="B143" s="101" t="s">
        <v>1</v>
      </c>
      <c r="C143" s="7" t="n">
        <f aca="false">C142</f>
        <v>46015</v>
      </c>
      <c r="D143" s="103" t="n">
        <v>17388.9085553902</v>
      </c>
      <c r="E143" s="1" t="n">
        <v>24000</v>
      </c>
    </row>
    <row r="144" customFormat="false" ht="14.25" hidden="false" customHeight="false" outlineLevel="0" collapsed="false">
      <c r="A144" s="1" t="n">
        <v>47</v>
      </c>
      <c r="B144" s="101" t="s">
        <v>1</v>
      </c>
      <c r="C144" s="7" t="n">
        <f aca="false">C143</f>
        <v>46015</v>
      </c>
      <c r="D144" s="103" t="n">
        <v>24412.4701684137</v>
      </c>
      <c r="E144" s="1" t="n">
        <v>25000</v>
      </c>
    </row>
    <row r="145" customFormat="false" ht="14.25" hidden="false" customHeight="false" outlineLevel="0" collapsed="false">
      <c r="A145" s="1" t="n">
        <v>49</v>
      </c>
      <c r="B145" s="101" t="s">
        <v>1</v>
      </c>
      <c r="C145" s="7" t="n">
        <f aca="false">C144</f>
        <v>46015</v>
      </c>
      <c r="D145" s="103" t="n">
        <v>182528.059425658</v>
      </c>
      <c r="E145" s="1" t="n">
        <v>210000</v>
      </c>
    </row>
    <row r="146" customFormat="false" ht="14.25" hidden="false" customHeight="false" outlineLevel="0" collapsed="false">
      <c r="A146" s="1" t="n">
        <v>49</v>
      </c>
      <c r="B146" s="1" t="s">
        <v>2</v>
      </c>
      <c r="C146" s="7" t="n">
        <f aca="false">C145</f>
        <v>46015</v>
      </c>
      <c r="D146" s="103" t="n">
        <v>0</v>
      </c>
      <c r="E146" s="1" t="n">
        <v>0</v>
      </c>
    </row>
    <row r="147" customFormat="false" ht="14.25" hidden="false" customHeight="false" outlineLevel="0" collapsed="false">
      <c r="A147" s="1" t="n">
        <v>25</v>
      </c>
      <c r="B147" s="101" t="s">
        <v>1</v>
      </c>
      <c r="C147" s="7" t="n">
        <v>46016</v>
      </c>
      <c r="D147" s="103" t="n">
        <v>0</v>
      </c>
      <c r="E147" s="1" t="n">
        <v>0</v>
      </c>
    </row>
    <row r="148" customFormat="false" ht="14.25" hidden="false" customHeight="false" outlineLevel="0" collapsed="false">
      <c r="A148" s="1" t="n">
        <v>44</v>
      </c>
      <c r="B148" s="101" t="s">
        <v>1</v>
      </c>
      <c r="C148" s="7" t="n">
        <f aca="false">C147</f>
        <v>46016</v>
      </c>
      <c r="D148" s="103" t="n">
        <v>0</v>
      </c>
      <c r="E148" s="1" t="n">
        <v>0</v>
      </c>
    </row>
    <row r="149" customFormat="false" ht="14.25" hidden="false" customHeight="false" outlineLevel="0" collapsed="false">
      <c r="A149" s="1" t="n">
        <v>45</v>
      </c>
      <c r="B149" s="101" t="s">
        <v>1</v>
      </c>
      <c r="C149" s="7" t="n">
        <f aca="false">C148</f>
        <v>46016</v>
      </c>
      <c r="D149" s="103" t="n">
        <v>0</v>
      </c>
      <c r="E149" s="1" t="n">
        <v>0</v>
      </c>
    </row>
    <row r="150" customFormat="false" ht="14.25" hidden="false" customHeight="false" outlineLevel="0" collapsed="false">
      <c r="A150" s="1" t="n">
        <v>47</v>
      </c>
      <c r="B150" s="101" t="s">
        <v>1</v>
      </c>
      <c r="C150" s="7" t="n">
        <f aca="false">C149</f>
        <v>46016</v>
      </c>
      <c r="D150" s="103" t="n">
        <v>0</v>
      </c>
      <c r="E150" s="1" t="n">
        <v>0</v>
      </c>
    </row>
    <row r="151" customFormat="false" ht="14.25" hidden="false" customHeight="false" outlineLevel="0" collapsed="false">
      <c r="A151" s="1" t="n">
        <v>49</v>
      </c>
      <c r="B151" s="101" t="s">
        <v>1</v>
      </c>
      <c r="C151" s="7" t="n">
        <f aca="false">C150</f>
        <v>46016</v>
      </c>
      <c r="D151" s="103" t="n">
        <v>0</v>
      </c>
      <c r="E151" s="1" t="n">
        <v>0</v>
      </c>
    </row>
    <row r="152" customFormat="false" ht="14.25" hidden="false" customHeight="false" outlineLevel="0" collapsed="false">
      <c r="A152" s="1" t="n">
        <v>49</v>
      </c>
      <c r="B152" s="1" t="s">
        <v>2</v>
      </c>
      <c r="C152" s="7" t="n">
        <f aca="false">C151</f>
        <v>46016</v>
      </c>
      <c r="D152" s="103" t="n">
        <v>0</v>
      </c>
      <c r="E152" s="1" t="n">
        <v>0</v>
      </c>
    </row>
    <row r="153" customFormat="false" ht="14.25" hidden="false" customHeight="false" outlineLevel="0" collapsed="false">
      <c r="A153" s="1" t="n">
        <v>25</v>
      </c>
      <c r="B153" s="101" t="s">
        <v>1</v>
      </c>
      <c r="C153" s="7" t="n">
        <v>46017</v>
      </c>
      <c r="D153" s="103" t="n">
        <v>22182.5636858322</v>
      </c>
      <c r="E153" s="1" t="n">
        <v>25000</v>
      </c>
    </row>
    <row r="154" customFormat="false" ht="14.25" hidden="false" customHeight="false" outlineLevel="0" collapsed="false">
      <c r="A154" s="1" t="n">
        <v>44</v>
      </c>
      <c r="B154" s="101" t="s">
        <v>1</v>
      </c>
      <c r="C154" s="7" t="n">
        <f aca="false">C153</f>
        <v>46017</v>
      </c>
      <c r="D154" s="103" t="n">
        <v>11676.2181736062</v>
      </c>
      <c r="E154" s="1" t="n">
        <v>12000</v>
      </c>
    </row>
    <row r="155" customFormat="false" ht="14.25" hidden="false" customHeight="false" outlineLevel="0" collapsed="false">
      <c r="A155" s="1" t="n">
        <v>45</v>
      </c>
      <c r="B155" s="101" t="s">
        <v>1</v>
      </c>
      <c r="C155" s="7" t="n">
        <f aca="false">C154</f>
        <v>46017</v>
      </c>
      <c r="D155" s="103" t="n">
        <v>10350.5408067799</v>
      </c>
      <c r="E155" s="1" t="n">
        <v>12000</v>
      </c>
    </row>
    <row r="156" customFormat="false" ht="14.25" hidden="false" customHeight="false" outlineLevel="0" collapsed="false">
      <c r="A156" s="1" t="n">
        <v>47</v>
      </c>
      <c r="B156" s="101" t="s">
        <v>1</v>
      </c>
      <c r="C156" s="7" t="n">
        <f aca="false">C155</f>
        <v>46017</v>
      </c>
      <c r="D156" s="103" t="n">
        <v>24412.4701684137</v>
      </c>
      <c r="E156" s="1" t="n">
        <v>25000</v>
      </c>
    </row>
    <row r="157" customFormat="false" ht="14.25" hidden="false" customHeight="false" outlineLevel="0" collapsed="false">
      <c r="A157" s="1" t="n">
        <v>49</v>
      </c>
      <c r="B157" s="101" t="s">
        <v>1</v>
      </c>
      <c r="C157" s="7" t="n">
        <f aca="false">C156</f>
        <v>46017</v>
      </c>
      <c r="D157" s="103" t="n">
        <v>74883.3064310392</v>
      </c>
      <c r="E157" s="1" t="n">
        <v>80000</v>
      </c>
    </row>
    <row r="158" customFormat="false" ht="14.25" hidden="false" customHeight="false" outlineLevel="0" collapsed="false">
      <c r="A158" s="1" t="n">
        <v>49</v>
      </c>
      <c r="B158" s="1" t="s">
        <v>2</v>
      </c>
      <c r="C158" s="7" t="n">
        <f aca="false">C157</f>
        <v>46017</v>
      </c>
      <c r="D158" s="103" t="n">
        <v>72948.8647099413</v>
      </c>
      <c r="E158" s="1" t="n">
        <v>100000</v>
      </c>
    </row>
    <row r="159" customFormat="false" ht="14.25" hidden="false" customHeight="false" outlineLevel="0" collapsed="false">
      <c r="A159" s="1" t="n">
        <v>25</v>
      </c>
      <c r="B159" s="101" t="s">
        <v>1</v>
      </c>
      <c r="C159" s="7" t="n">
        <v>46018</v>
      </c>
      <c r="D159" s="103" t="n">
        <v>21258.2901989226</v>
      </c>
      <c r="E159" s="1" t="n">
        <v>24000</v>
      </c>
    </row>
    <row r="160" customFormat="false" ht="14.25" hidden="false" customHeight="false" outlineLevel="0" collapsed="false">
      <c r="A160" s="1" t="n">
        <v>44</v>
      </c>
      <c r="B160" s="101" t="s">
        <v>1</v>
      </c>
      <c r="C160" s="7" t="n">
        <f aca="false">C159</f>
        <v>46018</v>
      </c>
      <c r="D160" s="103" t="n">
        <v>0</v>
      </c>
      <c r="E160" s="1" t="n">
        <v>0</v>
      </c>
    </row>
    <row r="161" customFormat="false" ht="14.25" hidden="false" customHeight="false" outlineLevel="0" collapsed="false">
      <c r="A161" s="1" t="n">
        <v>45</v>
      </c>
      <c r="B161" s="101" t="s">
        <v>1</v>
      </c>
      <c r="C161" s="7" t="n">
        <f aca="false">C160</f>
        <v>46018</v>
      </c>
      <c r="D161" s="103" t="n">
        <v>16560.8652908478</v>
      </c>
      <c r="E161" s="1" t="n">
        <v>24000</v>
      </c>
    </row>
    <row r="162" customFormat="false" ht="14.25" hidden="false" customHeight="false" outlineLevel="0" collapsed="false">
      <c r="A162" s="1" t="n">
        <v>47</v>
      </c>
      <c r="B162" s="101" t="s">
        <v>1</v>
      </c>
      <c r="C162" s="7" t="n">
        <f aca="false">C161</f>
        <v>46018</v>
      </c>
      <c r="D162" s="103" t="n">
        <v>23435.9713616772</v>
      </c>
      <c r="E162" s="1" t="n">
        <v>24000</v>
      </c>
    </row>
    <row r="163" customFormat="false" ht="14.25" hidden="false" customHeight="false" outlineLevel="0" collapsed="false">
      <c r="A163" s="1" t="n">
        <v>49</v>
      </c>
      <c r="B163" s="101" t="s">
        <v>1</v>
      </c>
      <c r="C163" s="7" t="n">
        <f aca="false">C162</f>
        <v>46018</v>
      </c>
      <c r="D163" s="103" t="n">
        <v>93604.133038799</v>
      </c>
      <c r="E163" s="1" t="n">
        <v>100000</v>
      </c>
    </row>
    <row r="164" customFormat="false" ht="14.25" hidden="false" customHeight="false" outlineLevel="0" collapsed="false">
      <c r="A164" s="1" t="n">
        <v>49</v>
      </c>
      <c r="B164" s="1" t="s">
        <v>2</v>
      </c>
      <c r="C164" s="7" t="n">
        <f aca="false">C163</f>
        <v>46018</v>
      </c>
      <c r="D164" s="103" t="n">
        <v>0</v>
      </c>
      <c r="E164" s="1" t="n">
        <v>0</v>
      </c>
    </row>
    <row r="165" customFormat="false" ht="14.25" hidden="false" customHeight="false" outlineLevel="0" collapsed="false">
      <c r="A165" s="1" t="n">
        <v>25</v>
      </c>
      <c r="B165" s="101" t="s">
        <v>1</v>
      </c>
      <c r="C165" s="7" t="n">
        <v>46019</v>
      </c>
      <c r="D165" s="103" t="n">
        <v>0</v>
      </c>
      <c r="E165" s="1" t="n">
        <v>0</v>
      </c>
    </row>
    <row r="166" customFormat="false" ht="14.25" hidden="false" customHeight="false" outlineLevel="0" collapsed="false">
      <c r="A166" s="1" t="n">
        <v>44</v>
      </c>
      <c r="B166" s="101" t="s">
        <v>1</v>
      </c>
      <c r="C166" s="7" t="n">
        <f aca="false">C165</f>
        <v>46019</v>
      </c>
      <c r="D166" s="103" t="n">
        <v>0</v>
      </c>
      <c r="E166" s="1" t="n">
        <v>0</v>
      </c>
    </row>
    <row r="167" customFormat="false" ht="14.25" hidden="false" customHeight="false" outlineLevel="0" collapsed="false">
      <c r="A167" s="1" t="n">
        <v>45</v>
      </c>
      <c r="B167" s="101" t="s">
        <v>1</v>
      </c>
      <c r="C167" s="7" t="n">
        <f aca="false">C166</f>
        <v>46019</v>
      </c>
      <c r="D167" s="103" t="n">
        <v>0</v>
      </c>
      <c r="E167" s="1" t="n">
        <v>0</v>
      </c>
    </row>
    <row r="168" customFormat="false" ht="14.25" hidden="false" customHeight="false" outlineLevel="0" collapsed="false">
      <c r="A168" s="1" t="n">
        <v>47</v>
      </c>
      <c r="B168" s="101" t="s">
        <v>1</v>
      </c>
      <c r="C168" s="7" t="n">
        <f aca="false">C167</f>
        <v>46019</v>
      </c>
      <c r="D168" s="103" t="n">
        <v>0</v>
      </c>
      <c r="E168" s="1" t="n">
        <v>0</v>
      </c>
    </row>
    <row r="169" customFormat="false" ht="14.25" hidden="false" customHeight="false" outlineLevel="0" collapsed="false">
      <c r="A169" s="1" t="n">
        <v>49</v>
      </c>
      <c r="B169" s="101" t="s">
        <v>1</v>
      </c>
      <c r="C169" s="7" t="n">
        <f aca="false">C168</f>
        <v>46019</v>
      </c>
      <c r="D169" s="103" t="n">
        <v>0</v>
      </c>
      <c r="E169" s="1" t="n">
        <v>0</v>
      </c>
    </row>
    <row r="170" customFormat="false" ht="14.25" hidden="false" customHeight="false" outlineLevel="0" collapsed="false">
      <c r="A170" s="1" t="n">
        <v>49</v>
      </c>
      <c r="B170" s="1" t="s">
        <v>2</v>
      </c>
      <c r="C170" s="7" t="n">
        <f aca="false">C169</f>
        <v>46019</v>
      </c>
      <c r="D170" s="103" t="n">
        <v>0</v>
      </c>
      <c r="E170" s="1" t="n">
        <v>0</v>
      </c>
    </row>
    <row r="171" customFormat="false" ht="14.25" hidden="false" customHeight="false" outlineLevel="0" collapsed="false">
      <c r="A171" s="1" t="n">
        <v>25</v>
      </c>
      <c r="B171" s="101" t="s">
        <v>1</v>
      </c>
      <c r="C171" s="7" t="n">
        <v>46020</v>
      </c>
      <c r="D171" s="103" t="n">
        <v>49951.5151060129</v>
      </c>
      <c r="E171" s="1" t="n">
        <v>50000</v>
      </c>
    </row>
    <row r="172" customFormat="false" ht="14.25" hidden="false" customHeight="false" outlineLevel="0" collapsed="false">
      <c r="A172" s="1" t="n">
        <v>44</v>
      </c>
      <c r="B172" s="101" t="s">
        <v>1</v>
      </c>
      <c r="C172" s="7" t="n">
        <f aca="false">C171</f>
        <v>46020</v>
      </c>
      <c r="D172" s="103" t="n">
        <v>20757.3962458379</v>
      </c>
      <c r="E172" s="1" t="n">
        <v>25000</v>
      </c>
    </row>
    <row r="173" customFormat="false" ht="14.25" hidden="false" customHeight="false" outlineLevel="0" collapsed="false">
      <c r="A173" s="1" t="n">
        <v>45</v>
      </c>
      <c r="B173" s="101" t="s">
        <v>1</v>
      </c>
      <c r="C173" s="7" t="n">
        <f aca="false">C172</f>
        <v>46020</v>
      </c>
      <c r="D173" s="103" t="n">
        <v>33731.9825740268</v>
      </c>
      <c r="E173" s="1" t="n">
        <v>38000</v>
      </c>
    </row>
    <row r="174" customFormat="false" ht="14.25" hidden="false" customHeight="false" outlineLevel="0" collapsed="false">
      <c r="A174" s="1" t="n">
        <v>47</v>
      </c>
      <c r="B174" s="101" t="s">
        <v>1</v>
      </c>
      <c r="C174" s="7" t="n">
        <f aca="false">C173</f>
        <v>46020</v>
      </c>
      <c r="D174" s="103" t="n">
        <v>47954.499130687</v>
      </c>
      <c r="E174" s="1" t="n">
        <v>48000</v>
      </c>
    </row>
    <row r="175" customFormat="false" ht="14.25" hidden="false" customHeight="false" outlineLevel="0" collapsed="false">
      <c r="A175" s="1" t="n">
        <v>49</v>
      </c>
      <c r="B175" s="101" t="s">
        <v>1</v>
      </c>
      <c r="C175" s="7" t="n">
        <f aca="false">C174</f>
        <v>46020</v>
      </c>
      <c r="D175" s="103" t="n">
        <v>177111.923104007</v>
      </c>
      <c r="E175" s="1" t="n">
        <v>180000</v>
      </c>
    </row>
    <row r="176" customFormat="false" ht="14.25" hidden="false" customHeight="false" outlineLevel="0" collapsed="false">
      <c r="A176" s="1" t="n">
        <v>49</v>
      </c>
      <c r="B176" s="1" t="s">
        <v>2</v>
      </c>
      <c r="C176" s="7" t="n">
        <f aca="false">C175</f>
        <v>46020</v>
      </c>
      <c r="D176" s="103" t="n">
        <v>158650.576752267</v>
      </c>
      <c r="E176" s="1" t="n">
        <v>160000</v>
      </c>
    </row>
    <row r="177" customFormat="false" ht="14.25" hidden="false" customHeight="false" outlineLevel="0" collapsed="false">
      <c r="A177" s="1" t="n">
        <v>25</v>
      </c>
      <c r="B177" s="101" t="s">
        <v>1</v>
      </c>
      <c r="C177" s="7" t="n">
        <v>46021</v>
      </c>
      <c r="D177" s="103" t="n">
        <v>59557.5757033231</v>
      </c>
      <c r="E177" s="1" t="n">
        <v>60000</v>
      </c>
    </row>
    <row r="178" customFormat="false" ht="14.25" hidden="false" customHeight="false" outlineLevel="0" collapsed="false">
      <c r="A178" s="1" t="n">
        <v>44</v>
      </c>
      <c r="B178" s="101" t="s">
        <v>1</v>
      </c>
      <c r="C178" s="7" t="n">
        <f aca="false">C177</f>
        <v>46021</v>
      </c>
      <c r="D178" s="103" t="n">
        <v>20534.1984367429</v>
      </c>
      <c r="E178" s="1" t="n">
        <v>25000</v>
      </c>
    </row>
    <row r="179" customFormat="false" ht="14.25" hidden="false" customHeight="false" outlineLevel="0" collapsed="false">
      <c r="A179" s="1" t="n">
        <v>45</v>
      </c>
      <c r="B179" s="101" t="s">
        <v>1</v>
      </c>
      <c r="C179" s="7" t="n">
        <f aca="false">C178</f>
        <v>46021</v>
      </c>
      <c r="D179" s="103" t="n">
        <v>34774.6074899513</v>
      </c>
      <c r="E179" s="1" t="n">
        <v>38000</v>
      </c>
    </row>
    <row r="180" customFormat="false" ht="14.25" hidden="false" customHeight="false" outlineLevel="0" collapsed="false">
      <c r="A180" s="1" t="n">
        <v>47</v>
      </c>
      <c r="B180" s="101" t="s">
        <v>1</v>
      </c>
      <c r="C180" s="7" t="n">
        <f aca="false">C179</f>
        <v>46021</v>
      </c>
      <c r="D180" s="103" t="n">
        <v>58944.0718481361</v>
      </c>
      <c r="E180" s="1" t="n">
        <v>60000</v>
      </c>
    </row>
    <row r="181" customFormat="false" ht="14.25" hidden="false" customHeight="false" outlineLevel="0" collapsed="false">
      <c r="A181" s="1" t="n">
        <v>49</v>
      </c>
      <c r="B181" s="101" t="s">
        <v>1</v>
      </c>
      <c r="C181" s="7" t="n">
        <f aca="false">C180</f>
        <v>46021</v>
      </c>
      <c r="D181" s="103" t="n">
        <v>201045.96676671</v>
      </c>
      <c r="E181" s="1" t="n">
        <v>220000</v>
      </c>
    </row>
    <row r="182" customFormat="false" ht="14.25" hidden="false" customHeight="false" outlineLevel="0" collapsed="false">
      <c r="A182" s="1" t="n">
        <v>49</v>
      </c>
      <c r="B182" s="1" t="s">
        <v>2</v>
      </c>
      <c r="C182" s="7" t="n">
        <f aca="false">C181</f>
        <v>46021</v>
      </c>
      <c r="D182" s="103" t="n">
        <v>168089.284454644</v>
      </c>
      <c r="E182" s="1" t="n">
        <v>170000</v>
      </c>
    </row>
    <row r="183" customFormat="false" ht="14.25" hidden="false" customHeight="false" outlineLevel="0" collapsed="false">
      <c r="A183" s="1" t="n">
        <v>25</v>
      </c>
      <c r="B183" s="101" t="s">
        <v>1</v>
      </c>
      <c r="C183" s="7" t="n">
        <v>46022</v>
      </c>
      <c r="D183" s="103" t="n">
        <v>24207.2727052217</v>
      </c>
      <c r="E183" s="1" t="n">
        <v>25000</v>
      </c>
    </row>
    <row r="184" customFormat="false" ht="14.25" hidden="false" customHeight="false" outlineLevel="0" collapsed="false">
      <c r="A184" s="1" t="n">
        <v>44</v>
      </c>
      <c r="B184" s="101" t="s">
        <v>1</v>
      </c>
      <c r="C184" s="7" t="n">
        <f aca="false">C183</f>
        <v>46022</v>
      </c>
      <c r="D184" s="103" t="n">
        <v>8927.91236380124</v>
      </c>
      <c r="E184" s="1" t="n">
        <v>12000</v>
      </c>
    </row>
    <row r="185" customFormat="false" ht="14.25" hidden="false" customHeight="false" outlineLevel="0" collapsed="false">
      <c r="A185" s="1" t="n">
        <v>45</v>
      </c>
      <c r="B185" s="101" t="s">
        <v>1</v>
      </c>
      <c r="C185" s="7" t="n">
        <f aca="false">C184</f>
        <v>46022</v>
      </c>
      <c r="D185" s="103" t="n">
        <v>10732.9035462813</v>
      </c>
      <c r="E185" s="1" t="n">
        <v>12000</v>
      </c>
    </row>
    <row r="186" customFormat="false" ht="14.25" hidden="false" customHeight="false" outlineLevel="0" collapsed="false">
      <c r="A186" s="1" t="n">
        <v>47</v>
      </c>
      <c r="B186" s="101" t="s">
        <v>1</v>
      </c>
      <c r="C186" s="7" t="n">
        <f aca="false">C185</f>
        <v>46022</v>
      </c>
      <c r="D186" s="103" t="n">
        <v>24976.3016305661</v>
      </c>
      <c r="E186" s="1" t="n">
        <v>25000</v>
      </c>
    </row>
    <row r="187" customFormat="false" ht="14.25" hidden="false" customHeight="false" outlineLevel="0" collapsed="false">
      <c r="A187" s="1" t="n">
        <v>49</v>
      </c>
      <c r="B187" s="101" t="s">
        <v>1</v>
      </c>
      <c r="C187" s="7" t="n">
        <f aca="false">C186</f>
        <v>46022</v>
      </c>
      <c r="D187" s="103" t="n">
        <v>157964.688173844</v>
      </c>
      <c r="E187" s="1" t="n">
        <v>200000</v>
      </c>
    </row>
    <row r="188" customFormat="false" ht="14.25" hidden="false" customHeight="false" outlineLevel="0" collapsed="false">
      <c r="A188" s="1" t="n">
        <v>49</v>
      </c>
      <c r="B188" s="1" t="s">
        <v>2</v>
      </c>
      <c r="C188" s="7" t="n">
        <f aca="false">C187</f>
        <v>46022</v>
      </c>
      <c r="D188" s="103" t="n">
        <v>0</v>
      </c>
      <c r="E188" s="1" t="n">
        <v>0</v>
      </c>
    </row>
  </sheetData>
  <autoFilter ref="A2:N188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F1:N2 A3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11" t="s">
        <v>55</v>
      </c>
    </row>
    <row r="2" customFormat="false" ht="14.25" hidden="false" customHeight="false" outlineLevel="0" collapsed="false">
      <c r="A2" s="11" t="s">
        <v>56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2021-06-23T22:07:24Z</dcterms:created>
  <dc:creator>Airton Marambaia</dc:creator>
  <dc:description/>
  <dc:language>pt-BR</dc:language>
  <cp:lastModifiedBy/>
  <dcterms:modified xsi:type="dcterms:W3CDTF">2025-12-02T11:05:40Z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